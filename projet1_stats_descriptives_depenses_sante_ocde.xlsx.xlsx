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03"/>
  <workbookPr/>
  <mc:AlternateContent xmlns:mc="http://schemas.openxmlformats.org/markup-compatibility/2006">
    <mc:Choice Requires="x15">
      <x15ac:absPath xmlns:x15ac="http://schemas.microsoft.com/office/spreadsheetml/2010/11/ac" url="/Users/ctv/Documents/LeCoinStat/Mes projets /"/>
    </mc:Choice>
  </mc:AlternateContent>
  <xr:revisionPtr revIDLastSave="0" documentId="13_ncr:1_{368CFFC5-1914-1343-BEC5-0B63A69B5CF3}" xr6:coauthVersionLast="47" xr6:coauthVersionMax="47" xr10:uidLastSave="{00000000-0000-0000-0000-000000000000}"/>
  <bookViews>
    <workbookView xWindow="0" yWindow="680" windowWidth="34560" windowHeight="20120" activeTab="1" xr2:uid="{00000000-000D-0000-FFFF-FFFF00000000}"/>
  </bookViews>
  <sheets>
    <sheet name="onnées" sheetId="1" r:id="rId1"/>
    <sheet name="Statistiques descriptives " sheetId="3" r:id="rId2"/>
    <sheet name="Graphiques" sheetId="4" r:id="rId3"/>
    <sheet name="Overview" sheetId="2" r:id="rId4"/>
  </sheets>
  <definedNames>
    <definedName name="_xlchart.v1.0" hidden="1">onnées!$B$8:$B$45</definedName>
    <definedName name="_xlchart.v1.1" hidden="1">onnées!$C$7</definedName>
    <definedName name="_xlchart.v1.2" hidden="1">onnées!$C$8:$C$45</definedName>
    <definedName name="_xlchart.v1.3" hidden="1">onnées!$C$8:$C$45</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 i="3" l="1"/>
  <c r="D12" i="3"/>
  <c r="D5" i="3"/>
  <c r="D18" i="3"/>
  <c r="D17" i="3"/>
  <c r="D13" i="3"/>
  <c r="D16" i="3"/>
  <c r="D15" i="3"/>
  <c r="D11" i="3"/>
  <c r="D10" i="3"/>
  <c r="D4" i="3"/>
  <c r="D6" i="3"/>
  <c r="D8" i="3"/>
  <c r="D9" i="3"/>
  <c r="D19" i="3" l="1"/>
  <c r="D21" i="3" s="1"/>
  <c r="D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xlsx-populate</author>
  </authors>
  <commentList>
    <comment ref="C8" authorId="0" shapeId="0" xr:uid="{00000000-0006-0000-0000-000001000000}">
      <text>
        <r>
          <rPr>
            <sz val="11"/>
            <color rgb="FF000000"/>
            <rFont val="Calibri"/>
            <family val="2"/>
          </rPr>
          <t>Observation status: Estimated value</t>
        </r>
      </text>
    </comment>
    <comment ref="C9" authorId="0" shapeId="0" xr:uid="{00000000-0006-0000-0000-000002000000}">
      <text>
        <r>
          <rPr>
            <sz val="11"/>
            <color rgb="FF000000"/>
            <rFont val="Calibri"/>
            <family val="2"/>
          </rPr>
          <t>Observation status: Provisional value</t>
        </r>
      </text>
    </comment>
    <comment ref="C10" authorId="0" shapeId="0" xr:uid="{00000000-0006-0000-0000-000003000000}">
      <text>
        <r>
          <rPr>
            <sz val="11"/>
            <color rgb="FF000000"/>
            <rFont val="Calibri"/>
            <family val="2"/>
          </rPr>
          <t>Observation status: Estimated value</t>
        </r>
      </text>
    </comment>
    <comment ref="C11" authorId="0" shapeId="0" xr:uid="{00000000-0006-0000-0000-000004000000}">
      <text>
        <r>
          <rPr>
            <sz val="11"/>
            <color rgb="FF000000"/>
            <rFont val="Calibri"/>
            <family val="2"/>
          </rPr>
          <t>Observation status: Provisional value</t>
        </r>
      </text>
    </comment>
    <comment ref="C12" authorId="0" shapeId="0" xr:uid="{00000000-0006-0000-0000-000005000000}">
      <text>
        <r>
          <rPr>
            <sz val="11"/>
            <color rgb="FF000000"/>
            <rFont val="Calibri"/>
            <family val="2"/>
          </rPr>
          <t>Observation status: Provisional value</t>
        </r>
      </text>
    </comment>
    <comment ref="C13" authorId="0" shapeId="0" xr:uid="{00000000-0006-0000-0000-000006000000}">
      <text>
        <r>
          <rPr>
            <sz val="11"/>
            <color rgb="FF000000"/>
            <rFont val="Calibri"/>
            <family val="2"/>
          </rPr>
          <t>Observation status: Provisional value</t>
        </r>
      </text>
    </comment>
    <comment ref="C14" authorId="0" shapeId="0" xr:uid="{00000000-0006-0000-0000-000007000000}">
      <text>
        <r>
          <rPr>
            <sz val="11"/>
            <color theme="1"/>
            <rFont val="Calibri"/>
            <family val="2"/>
            <scheme val="minor"/>
          </rPr>
          <t>Observation status: Estimated value</t>
        </r>
      </text>
    </comment>
    <comment ref="C15" authorId="0" shapeId="0" xr:uid="{00000000-0006-0000-0000-000008000000}">
      <text>
        <r>
          <rPr>
            <sz val="11"/>
            <color theme="1"/>
            <rFont val="Calibri"/>
            <family val="2"/>
            <scheme val="minor"/>
          </rPr>
          <t>Observation status: Provisional value</t>
        </r>
      </text>
    </comment>
    <comment ref="C16" authorId="0" shapeId="0" xr:uid="{00000000-0006-0000-0000-000009000000}">
      <text>
        <r>
          <rPr>
            <sz val="11"/>
            <color theme="1"/>
            <rFont val="Calibri"/>
            <family val="2"/>
            <scheme val="minor"/>
          </rPr>
          <t>Observation status: Provisional value</t>
        </r>
      </text>
    </comment>
    <comment ref="C17" authorId="0" shapeId="0" xr:uid="{00000000-0006-0000-0000-00000A000000}">
      <text>
        <r>
          <rPr>
            <sz val="11"/>
            <color theme="1"/>
            <rFont val="Calibri"/>
            <family val="2"/>
            <scheme val="minor"/>
          </rPr>
          <t>Observation status: Provisional value</t>
        </r>
      </text>
    </comment>
    <comment ref="C18" authorId="0" shapeId="0" xr:uid="{00000000-0006-0000-0000-00000B000000}">
      <text>
        <r>
          <rPr>
            <sz val="11"/>
            <color theme="1"/>
            <rFont val="Calibri"/>
            <family val="2"/>
            <scheme val="minor"/>
          </rPr>
          <t>Observation status: Estimated value</t>
        </r>
      </text>
    </comment>
    <comment ref="C19" authorId="0" shapeId="0" xr:uid="{00000000-0006-0000-0000-00000C000000}">
      <text>
        <r>
          <rPr>
            <sz val="11"/>
            <color theme="1"/>
            <rFont val="Calibri"/>
            <family val="2"/>
            <scheme val="minor"/>
          </rPr>
          <t>Observation status: Estimated value</t>
        </r>
      </text>
    </comment>
    <comment ref="C20" authorId="0" shapeId="0" xr:uid="{00000000-0006-0000-0000-00000D000000}">
      <text>
        <r>
          <rPr>
            <sz val="11"/>
            <color theme="1"/>
            <rFont val="Calibri"/>
            <family val="2"/>
            <scheme val="minor"/>
          </rPr>
          <t>Observation status: Provisional value</t>
        </r>
      </text>
    </comment>
    <comment ref="C21" authorId="0" shapeId="0" xr:uid="{00000000-0006-0000-0000-00000E000000}">
      <text>
        <r>
          <rPr>
            <sz val="11"/>
            <color theme="1"/>
            <rFont val="Calibri"/>
            <family val="2"/>
            <scheme val="minor"/>
          </rPr>
          <t>Observation status: Estimated value</t>
        </r>
      </text>
    </comment>
    <comment ref="C22" authorId="0" shapeId="0" xr:uid="{00000000-0006-0000-0000-00000F000000}">
      <text>
        <r>
          <rPr>
            <sz val="11"/>
            <color rgb="FF000000"/>
            <rFont val="Calibri"/>
            <family val="2"/>
          </rPr>
          <t>Observation status: Provisional value</t>
        </r>
      </text>
    </comment>
    <comment ref="C23" authorId="0" shapeId="0" xr:uid="{00000000-0006-0000-0000-000010000000}">
      <text>
        <r>
          <rPr>
            <sz val="11"/>
            <color theme="1"/>
            <rFont val="Calibri"/>
            <family val="2"/>
            <scheme val="minor"/>
          </rPr>
          <t>Observation status: Provisional value</t>
        </r>
      </text>
    </comment>
    <comment ref="C24" authorId="0" shapeId="0" xr:uid="{00000000-0006-0000-0000-000011000000}">
      <text>
        <r>
          <rPr>
            <sz val="11"/>
            <color rgb="FF000000"/>
            <rFont val="Calibri"/>
            <family val="2"/>
          </rPr>
          <t>Observation status: Provisional value</t>
        </r>
      </text>
    </comment>
    <comment ref="C25" authorId="0" shapeId="0" xr:uid="{00000000-0006-0000-0000-000012000000}">
      <text>
        <r>
          <rPr>
            <sz val="11"/>
            <color theme="1"/>
            <rFont val="Calibri"/>
            <family val="2"/>
            <scheme val="minor"/>
          </rPr>
          <t>Observation status: Definition differs
Observation status 2: Estimated value</t>
        </r>
      </text>
    </comment>
    <comment ref="C26" authorId="0" shapeId="0" xr:uid="{00000000-0006-0000-0000-000013000000}">
      <text>
        <r>
          <rPr>
            <sz val="11"/>
            <color theme="1"/>
            <rFont val="Calibri"/>
            <family val="2"/>
            <scheme val="minor"/>
          </rPr>
          <t>Observation status: Provisional value</t>
        </r>
      </text>
    </comment>
    <comment ref="C27" authorId="0" shapeId="0" xr:uid="{00000000-0006-0000-0000-000014000000}">
      <text>
        <r>
          <rPr>
            <sz val="11"/>
            <color theme="1"/>
            <rFont val="Calibri"/>
            <family val="2"/>
            <scheme val="minor"/>
          </rPr>
          <t>Observation status: Estimated value</t>
        </r>
      </text>
    </comment>
    <comment ref="C28" authorId="0" shapeId="0" xr:uid="{00000000-0006-0000-0000-000015000000}">
      <text>
        <r>
          <rPr>
            <sz val="11"/>
            <color theme="1"/>
            <rFont val="Calibri"/>
            <family val="2"/>
            <scheme val="minor"/>
          </rPr>
          <t>Observation status: Provisional value</t>
        </r>
      </text>
    </comment>
    <comment ref="C29" authorId="0" shapeId="0" xr:uid="{00000000-0006-0000-0000-000016000000}">
      <text>
        <r>
          <rPr>
            <sz val="11"/>
            <color theme="1"/>
            <rFont val="Calibri"/>
            <family val="2"/>
            <scheme val="minor"/>
          </rPr>
          <t>Observation status: Estimated value</t>
        </r>
      </text>
    </comment>
    <comment ref="C30" authorId="0" shapeId="0" xr:uid="{00000000-0006-0000-0000-000017000000}">
      <text>
        <r>
          <rPr>
            <sz val="11"/>
            <color theme="1"/>
            <rFont val="Calibri"/>
            <family val="2"/>
            <scheme val="minor"/>
          </rPr>
          <t>Observation status: Provisional value</t>
        </r>
      </text>
    </comment>
    <comment ref="C31" authorId="0" shapeId="0" xr:uid="{00000000-0006-0000-0000-000018000000}">
      <text>
        <r>
          <rPr>
            <sz val="11"/>
            <color theme="1"/>
            <rFont val="Calibri"/>
            <family val="2"/>
            <scheme val="minor"/>
          </rPr>
          <t>Observation status: Provisional value</t>
        </r>
      </text>
    </comment>
    <comment ref="C32" authorId="0" shapeId="0" xr:uid="{00000000-0006-0000-0000-000019000000}">
      <text>
        <r>
          <rPr>
            <sz val="11"/>
            <color rgb="FF000000"/>
            <rFont val="Calibri"/>
            <family val="2"/>
          </rPr>
          <t>Observation status: Estimated value</t>
        </r>
      </text>
    </comment>
    <comment ref="C33" authorId="0" shapeId="0" xr:uid="{00000000-0006-0000-0000-00001A000000}">
      <text>
        <r>
          <rPr>
            <sz val="11"/>
            <color theme="1"/>
            <rFont val="Calibri"/>
            <family val="2"/>
            <scheme val="minor"/>
          </rPr>
          <t>Observation status: Provisional value</t>
        </r>
      </text>
    </comment>
    <comment ref="C34" authorId="0" shapeId="0" xr:uid="{00000000-0006-0000-0000-00001B000000}">
      <text>
        <r>
          <rPr>
            <sz val="11"/>
            <color theme="1"/>
            <rFont val="Calibri"/>
            <family val="2"/>
            <scheme val="minor"/>
          </rPr>
          <t>Observation status: Estimated value</t>
        </r>
      </text>
    </comment>
    <comment ref="C35" authorId="0" shapeId="0" xr:uid="{00000000-0006-0000-0000-00001C000000}">
      <text>
        <r>
          <rPr>
            <sz val="11"/>
            <color theme="1"/>
            <rFont val="Calibri"/>
            <family val="2"/>
            <scheme val="minor"/>
          </rPr>
          <t>Observation status: Estimated value</t>
        </r>
      </text>
    </comment>
    <comment ref="C36" authorId="0" shapeId="0" xr:uid="{00000000-0006-0000-0000-00001D000000}">
      <text>
        <r>
          <rPr>
            <sz val="11"/>
            <color theme="1"/>
            <rFont val="Calibri"/>
            <family val="2"/>
            <scheme val="minor"/>
          </rPr>
          <t>Observation status: Provisional value</t>
        </r>
      </text>
    </comment>
    <comment ref="C37" authorId="0" shapeId="0" xr:uid="{00000000-0006-0000-0000-00001E000000}">
      <text>
        <r>
          <rPr>
            <sz val="11"/>
            <color theme="1"/>
            <rFont val="Calibri"/>
            <family val="2"/>
            <scheme val="minor"/>
          </rPr>
          <t>Observation status: Provisional value</t>
        </r>
      </text>
    </comment>
    <comment ref="C38" authorId="0" shapeId="0" xr:uid="{00000000-0006-0000-0000-00001F000000}">
      <text>
        <r>
          <rPr>
            <sz val="11"/>
            <color theme="1"/>
            <rFont val="Calibri"/>
            <family val="2"/>
            <scheme val="minor"/>
          </rPr>
          <t>Observation status: Estimated value</t>
        </r>
      </text>
    </comment>
    <comment ref="C39" authorId="0" shapeId="0" xr:uid="{00000000-0006-0000-0000-000020000000}">
      <text>
        <r>
          <rPr>
            <sz val="11"/>
            <color theme="1"/>
            <rFont val="Calibri"/>
            <family val="2"/>
            <scheme val="minor"/>
          </rPr>
          <t>Observation status: Estimated value</t>
        </r>
      </text>
    </comment>
    <comment ref="C40" authorId="0" shapeId="0" xr:uid="{00000000-0006-0000-0000-000021000000}">
      <text>
        <r>
          <rPr>
            <sz val="11"/>
            <color theme="1"/>
            <rFont val="Calibri"/>
            <family val="2"/>
            <scheme val="minor"/>
          </rPr>
          <t>Observation status: Estimated value</t>
        </r>
      </text>
    </comment>
    <comment ref="C41" authorId="0" shapeId="0" xr:uid="{00000000-0006-0000-0000-000022000000}">
      <text>
        <r>
          <rPr>
            <sz val="11"/>
            <color theme="1"/>
            <rFont val="Calibri"/>
            <family val="2"/>
            <scheme val="minor"/>
          </rPr>
          <t>Observation status: Provisional value</t>
        </r>
      </text>
    </comment>
    <comment ref="C42" authorId="0" shapeId="0" xr:uid="{00000000-0006-0000-0000-000023000000}">
      <text>
        <r>
          <rPr>
            <sz val="11"/>
            <color theme="1"/>
            <rFont val="Calibri"/>
            <family val="2"/>
            <scheme val="minor"/>
          </rPr>
          <t>Observation status: Provisional value</t>
        </r>
      </text>
    </comment>
    <comment ref="C43" authorId="0" shapeId="0" xr:uid="{00000000-0006-0000-0000-000024000000}">
      <text>
        <r>
          <rPr>
            <sz val="11"/>
            <color theme="1"/>
            <rFont val="Calibri"/>
            <family val="2"/>
            <scheme val="minor"/>
          </rPr>
          <t>Observation status: Estimated value</t>
        </r>
      </text>
    </comment>
    <comment ref="C44" authorId="0" shapeId="0" xr:uid="{00000000-0006-0000-0000-000025000000}">
      <text>
        <r>
          <rPr>
            <sz val="11"/>
            <color rgb="FF000000"/>
            <rFont val="Calibri"/>
            <family val="2"/>
          </rPr>
          <t>Observation status: Provisional value</t>
        </r>
      </text>
    </comment>
    <comment ref="C45" authorId="0" shapeId="0" xr:uid="{00000000-0006-0000-0000-000026000000}">
      <text>
        <r>
          <rPr>
            <sz val="11"/>
            <color rgb="FF000000"/>
            <rFont val="Calibri"/>
            <family val="2"/>
          </rPr>
          <t>Observation status: Estimated value</t>
        </r>
      </text>
    </comment>
  </commentList>
</comments>
</file>

<file path=xl/sharedStrings.xml><?xml version="1.0" encoding="utf-8"?>
<sst xmlns="http://schemas.openxmlformats.org/spreadsheetml/2006/main" count="85" uniqueCount="83">
  <si>
    <t>Health expenditure and financing</t>
  </si>
  <si>
    <t>Frequency of observation: Annual</t>
  </si>
  <si>
    <t>Measure: Expenditure</t>
  </si>
  <si>
    <t>Time period: 2025</t>
  </si>
  <si>
    <t>Combined unit of measure: Euros per person, PPP converted, Current prices</t>
  </si>
  <si>
    <t>Australia</t>
  </si>
  <si>
    <t>Austria</t>
  </si>
  <si>
    <t>Belgium</t>
  </si>
  <si>
    <t>Canada</t>
  </si>
  <si>
    <t>Chile</t>
  </si>
  <si>
    <t>Colombia</t>
  </si>
  <si>
    <t>Costa Rica</t>
  </si>
  <si>
    <t>Czechia</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</si>
  <si>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</si>
  <si>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</si>
  <si>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</si>
  <si>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</si>
  <si>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</si>
  <si>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</si>
  <si>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</si>
  <si>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</si>
  <si>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</si>
  <si>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</si>
  <si>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</si>
  <si>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</si>
  <si>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</si>
  <si>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</si>
  <si>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</si>
  <si>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</si>
  <si>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</si>
  <si>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</si>
  <si>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</si>
  <si>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</si>
  <si>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</si>
  <si>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</si>
  <si>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</si>
  <si>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</si>
  <si>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</si>
  <si>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</si>
  <si>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</si>
  <si>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Türkiye</t>
  </si>
  <si>
    <t>United Kingdom</t>
  </si>
  <si>
    <t>United States</t>
  </si>
  <si>
    <t xml:space="preserve">© Terms &amp; conditions </t>
  </si>
  <si>
    <t>&lt;a  target="_blank" href="https://www.oecd.org/content/dam/oecd/en/publications/reports/2017/03/a-system-of-health-accounts-2011_g1g75c9d/9789264270985-en.pdf"&gt;A System of Health Accounts&lt;/a&gt; provides an updated and systematic description of the financial flows related to the consumption of healthcare goods and services. As demands for information increase and more countries implement and institutionalise health accounts according to the system, the data produced are expected to be more comparable, more detailed and more policy relevant. It builds on the original OECD Manual, published in 2000 to create a single global framework for producing health expenditure accounts that can help track resource flows from sources to uses. It is the result of a collaborative effort between the OECD, WHO and the European Commission, and sets out in more detail the boundaries, the definitions and the concepts – responding to healthcare systems around the globe – from the simplest to the more complicated. The accounting framework is organised around a tri-axial system for the recording of healthcare expenditure, namely classifications of the functions of healthcare (ICHA-HC), healthcare provision (ICHA-HP), and financing schemes (ICHA-HF).</t>
  </si>
  <si>
    <t>Topic: Health &gt; Health expenditure and financing</t>
  </si>
  <si>
    <t xml:space="preserve">Number of unfiltered data points: 13296298 </t>
  </si>
  <si>
    <t xml:space="preserve">Last updated: July 17, 2026 at 4:25:07 PM </t>
  </si>
  <si>
    <t>You might also be interested in these data:</t>
  </si>
  <si>
    <t>COVID-19 expenditure</t>
  </si>
  <si>
    <t>Gross fixed capital formation in the healthcare system</t>
  </si>
  <si>
    <t>Input costs for healthcare providers</t>
  </si>
  <si>
    <t>Revenues of healthcare financing schemes</t>
  </si>
  <si>
    <t>Pays</t>
  </si>
  <si>
    <t>Dépenses de santé par habitants</t>
  </si>
  <si>
    <t>Moyenne</t>
  </si>
  <si>
    <t>Médiane</t>
  </si>
  <si>
    <t>Variance</t>
  </si>
  <si>
    <t>Ecart-Type</t>
  </si>
  <si>
    <t>Etendue</t>
  </si>
  <si>
    <t>Mode</t>
  </si>
  <si>
    <t>N</t>
  </si>
  <si>
    <t>Min</t>
  </si>
  <si>
    <t>Max</t>
  </si>
  <si>
    <t>Cv°</t>
  </si>
  <si>
    <t>Q1</t>
  </si>
  <si>
    <t>Q2</t>
  </si>
  <si>
    <t>Q3</t>
  </si>
  <si>
    <t>Asymetrie</t>
  </si>
  <si>
    <t>Applatissement</t>
  </si>
  <si>
    <t>IQR</t>
  </si>
  <si>
    <t>Observations</t>
  </si>
  <si>
    <t>Moyenne &gt; Mediane = asymétrie à droite</t>
  </si>
  <si>
    <t>forte dispersion</t>
  </si>
  <si>
    <t>confirme la dispersion au centre de la distribtuioon et suggere presence d'outliers qui font gonfler la variance et ecart-type</t>
  </si>
  <si>
    <t>Borne basse (outlier)</t>
  </si>
  <si>
    <t>Borne haute (outlier)</t>
  </si>
  <si>
    <t>confirme l'asymetrie à droite. Celle-ci est modérée.</t>
  </si>
  <si>
    <t xml:space="preserve">USA, seul pays dans la borne haute. Il tire la moyenne vers le haut. </t>
  </si>
  <si>
    <t>Interprétation</t>
  </si>
  <si>
    <t>mode pas pertinent pour variable continue</t>
  </si>
  <si>
    <r>
      <t xml:space="preserve">La distribution des dépenses de santé par habitant dans les pays de l'OCDE est asymétrique à droite (skewness = 0,91). La moyenne (3 885 €) est supérieure à la médiane (3 567€), signe que quelques valeurs élevées tirent la moyenne vers le haut. L'histogramme confirme cette lecture : 36 des 38 pays se concentrent entre 1 000 et 6 400 </t>
    </r>
    <r>
      <rPr>
        <u/>
        <sz val="10"/>
        <color theme="1"/>
        <rFont val="Calibri (Corps)"/>
      </rPr>
      <t>€</t>
    </r>
    <r>
      <rPr>
        <sz val="10"/>
        <color theme="1"/>
        <rFont val="Calibri (Corps)"/>
      </rPr>
      <t xml:space="preserve"> , tandis que les États-Unis (9 776,5 €) se situe très au-ddessus, à plus de 3 000 € du deuxième pays le plus dépensier (Suisse, 6 562€). Le kurtosis élevé (2,18) témoigne d 'une distribution concentrée autour du centre, mais avec une queue lourde causée par cette valeur extreme. </t>
    </r>
  </si>
  <si>
    <t>distribution pointue,Leptokurtique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</si>
</sst>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_€"/>
  </numFmts>
  <fonts count="98" x14ac:knownFonts="1">
    <font>
      <sz val="11"/>
      <color theme="1"/>
      <name val="Calibri"/>
      <family val="2"/>
      <scheme val="minor"/>
    </font>
    <font>
      <b/>
      <sz val="11"/>
      <name val="Calibri"/>
      <family val="2"/>
    </font>
    <font>
      <sz val="11"/>
      <name val="Calibri"/>
      <family val="2"/>
    </font>
    <font>
      <sz val="11"/>
      <name val="Calibri"/>
      <family val="2"/>
    </font>
    <font>
      <sz val="11"/>
      <name val="Calibri"/>
      <family val="2"/>
    </font>
    <font>
      <sz val="11"/>
      <name val="Calibri"/>
      <family val="2"/>
    </font>
    <font>
      <b/>
      <sz val="11"/>
      <color rgb="FF000000"/>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sz val="11"/>
      <color rgb="FF000000"/>
      <name val="Calibri"/>
      <family val="2"/>
    </font>
    <font>
      <sz val="11"/>
      <name val="Calibri"/>
      <family val="2"/>
    </font>
    <font>
      <u/>
      <sz val="11"/>
      <color rgb="FF0563C1"/>
      <name val="Calibri"/>
      <family val="2"/>
    </font>
    <font>
      <u/>
      <sz val="11"/>
      <color rgb="FF0563C1"/>
      <name val="Calibri"/>
      <family val="2"/>
    </font>
    <font>
      <sz val="11"/>
      <name val="Calibri"/>
      <family val="2"/>
    </font>
    <font>
      <b/>
      <sz val="11"/>
      <name val="Calibri"/>
      <family val="2"/>
    </font>
    <font>
      <b/>
      <sz val="11"/>
      <name val="Calibri"/>
      <family val="2"/>
    </font>
    <font>
      <u/>
      <sz val="11"/>
      <color rgb="FF4182D5"/>
      <name val="Calibri"/>
      <family val="2"/>
    </font>
    <font>
      <u/>
      <sz val="11"/>
      <color rgb="FF4182D5"/>
      <name val="Calibri"/>
      <family val="2"/>
    </font>
    <font>
      <u/>
      <sz val="11"/>
      <color rgb="FF4182D5"/>
      <name val="Calibri"/>
      <family val="2"/>
    </font>
    <font>
      <u/>
      <sz val="11"/>
      <color rgb="FF4182D5"/>
      <name val="Calibri"/>
      <family val="2"/>
    </font>
    <font>
      <b/>
      <sz val="11"/>
      <color theme="1"/>
      <name val="Calibri"/>
      <family val="2"/>
      <scheme val="minor"/>
    </font>
    <font>
      <sz val="22"/>
      <color theme="1"/>
      <name val="Calibri"/>
      <family val="2"/>
      <scheme val="minor"/>
    </font>
    <font>
      <b/>
      <sz val="16"/>
      <color theme="1"/>
      <name val="Calibri (Corps)"/>
    </font>
    <font>
      <sz val="10"/>
      <color theme="1"/>
      <name val="Calibri (Corps)"/>
    </font>
    <font>
      <u/>
      <sz val="10"/>
      <color theme="1"/>
      <name val="Calibri (Corps)"/>
    </font>
    <font>
      <sz val="10"/>
      <color theme="1"/>
      <name val="Calibri"/>
      <family val="2"/>
      <scheme val="minor"/>
    </font>
  </fonts>
  <fills count="95">
    <fill>
      <patternFill patternType="none"/>
    </fill>
    <fill>
      <patternFill patternType="gray125"/>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rgb="FFE2F2FB"/>
      </patternFill>
    </fill>
    <fill>
      <patternFill patternType="solid">
        <fgColor rgb="FFF1F1F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solid">
        <fgColor rgb="FFE2F2FB"/>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none">
        <fgColor auto="1"/>
        <bgColor auto="1"/>
      </patternFill>
    </fill>
    <fill>
      <patternFill patternType="solid">
        <fgColor theme="4" tint="0.59999389629810485"/>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101">
    <xf numFmtId="0" fontId="0" fillId="0" borderId="0" xfId="0"/>
    <xf numFmtId="0" fontId="1" fillId="2" borderId="1" xfId="0" applyFont="1" applyFill="1" applyBorder="1" applyAlignment="1">
      <alignment horizontal="left" readingOrder="1"/>
    </xf>
    <xf numFmtId="0" fontId="2" fillId="3" borderId="2" xfId="0" applyFont="1" applyFill="1" applyBorder="1" applyAlignment="1">
      <alignment horizontal="left" readingOrder="1"/>
    </xf>
    <xf numFmtId="0" fontId="3" fillId="4" borderId="3" xfId="0" applyFont="1" applyFill="1" applyBorder="1" applyAlignment="1">
      <alignment horizontal="left" readingOrder="1"/>
    </xf>
    <xf numFmtId="0" fontId="4" fillId="5" borderId="4" xfId="0" applyFont="1" applyFill="1" applyBorder="1" applyAlignment="1">
      <alignment horizontal="left" readingOrder="1"/>
    </xf>
    <xf numFmtId="0" fontId="5" fillId="6" borderId="5" xfId="0" applyFont="1" applyFill="1" applyBorder="1" applyAlignment="1">
      <alignment horizontal="left" readingOrder="1"/>
    </xf>
    <xf numFmtId="0" fontId="83" fillId="85" borderId="6" xfId="0" applyFont="1" applyFill="1" applyBorder="1" applyAlignment="1">
      <alignment readingOrder="1"/>
    </xf>
    <xf numFmtId="0" fontId="84" fillId="86" borderId="7" xfId="0" applyFont="1" applyFill="1" applyBorder="1"/>
    <xf numFmtId="0" fontId="85" fillId="87" borderId="8" xfId="0" applyFont="1" applyFill="1" applyBorder="1" applyAlignment="1">
      <alignment horizontal="left" vertical="top" wrapText="1"/>
    </xf>
    <xf numFmtId="0" fontId="86" fillId="88" borderId="9" xfId="0" applyFont="1" applyFill="1" applyBorder="1" applyAlignment="1">
      <alignment horizontal="left" vertical="top" wrapText="1"/>
    </xf>
    <xf numFmtId="0" fontId="87" fillId="89" borderId="10" xfId="0" applyFont="1" applyFill="1" applyBorder="1" applyAlignment="1">
      <alignment horizontal="left" vertical="top" wrapText="1"/>
    </xf>
    <xf numFmtId="0" fontId="88" fillId="90" borderId="11" xfId="0" applyFont="1" applyFill="1" applyBorder="1" applyAlignment="1">
      <alignment horizontal="left" vertical="top" wrapText="1"/>
    </xf>
    <xf numFmtId="0" fontId="89" fillId="91" borderId="12" xfId="0" applyFont="1" applyFill="1" applyBorder="1" applyAlignment="1">
      <alignment horizontal="left" vertical="top" wrapText="1"/>
    </xf>
    <xf numFmtId="0" fontId="90" fillId="92" borderId="13" xfId="0" applyFont="1" applyFill="1" applyBorder="1" applyAlignment="1">
      <alignment horizontal="left" vertical="top" wrapText="1"/>
    </xf>
    <xf numFmtId="0" fontId="91" fillId="93" borderId="14" xfId="0" applyFont="1" applyFill="1" applyBorder="1" applyAlignment="1">
      <alignment horizontal="left" vertical="top" wrapText="1"/>
    </xf>
    <xf numFmtId="0" fontId="7" fillId="9" borderId="15" xfId="0" applyFont="1" applyFill="1" applyBorder="1" applyAlignment="1">
      <alignment horizontal="left" vertical="top" wrapText="1" readingOrder="1"/>
    </xf>
    <xf numFmtId="0" fontId="9" fillId="11" borderId="15" xfId="0" applyFont="1" applyFill="1" applyBorder="1" applyAlignment="1">
      <alignment horizontal="left" vertical="top" wrapText="1" readingOrder="1"/>
    </xf>
    <xf numFmtId="0" fontId="11" fillId="13" borderId="15" xfId="0" applyFont="1" applyFill="1" applyBorder="1" applyAlignment="1">
      <alignment horizontal="left" vertical="top" wrapText="1" readingOrder="1"/>
    </xf>
    <xf numFmtId="0" fontId="13" fillId="15" borderId="15" xfId="0" applyFont="1" applyFill="1" applyBorder="1" applyAlignment="1">
      <alignment horizontal="left" vertical="top" wrapText="1" readingOrder="1"/>
    </xf>
    <xf numFmtId="0" fontId="15" fillId="17" borderId="15" xfId="0" applyFont="1" applyFill="1" applyBorder="1" applyAlignment="1">
      <alignment horizontal="left" vertical="top" wrapText="1" readingOrder="1"/>
    </xf>
    <xf numFmtId="0" fontId="17" fillId="19" borderId="15" xfId="0" applyFont="1" applyFill="1" applyBorder="1" applyAlignment="1">
      <alignment horizontal="left" vertical="top" wrapText="1" readingOrder="1"/>
    </xf>
    <xf numFmtId="0" fontId="19" fillId="21" borderId="15" xfId="0" applyFont="1" applyFill="1" applyBorder="1" applyAlignment="1">
      <alignment horizontal="left" vertical="top" wrapText="1" readingOrder="1"/>
    </xf>
    <xf numFmtId="0" fontId="21" fillId="23" borderId="15" xfId="0" applyFont="1" applyFill="1" applyBorder="1" applyAlignment="1">
      <alignment horizontal="left" vertical="top" wrapText="1" readingOrder="1"/>
    </xf>
    <xf numFmtId="0" fontId="23" fillId="25" borderId="15" xfId="0" applyFont="1" applyFill="1" applyBorder="1" applyAlignment="1">
      <alignment horizontal="left" vertical="top" wrapText="1" readingOrder="1"/>
    </xf>
    <xf numFmtId="0" fontId="25" fillId="27" borderId="15" xfId="0" applyFont="1" applyFill="1" applyBorder="1" applyAlignment="1">
      <alignment horizontal="left" vertical="top" wrapText="1" readingOrder="1"/>
    </xf>
    <xf numFmtId="0" fontId="27" fillId="29" borderId="15" xfId="0" applyFont="1" applyFill="1" applyBorder="1" applyAlignment="1">
      <alignment horizontal="left" vertical="top" wrapText="1" readingOrder="1"/>
    </xf>
    <xf numFmtId="0" fontId="29" fillId="31" borderId="15" xfId="0" applyFont="1" applyFill="1" applyBorder="1" applyAlignment="1">
      <alignment horizontal="left" vertical="top" wrapText="1" readingOrder="1"/>
    </xf>
    <xf numFmtId="0" fontId="31" fillId="33" borderId="15" xfId="0" applyFont="1" applyFill="1" applyBorder="1" applyAlignment="1">
      <alignment horizontal="left" vertical="top" wrapText="1" readingOrder="1"/>
    </xf>
    <xf numFmtId="0" fontId="33" fillId="35" borderId="15" xfId="0" applyFont="1" applyFill="1" applyBorder="1" applyAlignment="1">
      <alignment horizontal="left" vertical="top" wrapText="1" readingOrder="1"/>
    </xf>
    <xf numFmtId="0" fontId="35" fillId="37" borderId="15" xfId="0" applyFont="1" applyFill="1" applyBorder="1" applyAlignment="1">
      <alignment horizontal="left" vertical="top" wrapText="1" readingOrder="1"/>
    </xf>
    <xf numFmtId="0" fontId="37" fillId="39" borderId="15" xfId="0" applyFont="1" applyFill="1" applyBorder="1" applyAlignment="1">
      <alignment horizontal="left" vertical="top" wrapText="1" readingOrder="1"/>
    </xf>
    <xf numFmtId="0" fontId="39" fillId="41" borderId="15" xfId="0" applyFont="1" applyFill="1" applyBorder="1" applyAlignment="1">
      <alignment horizontal="left" vertical="top" wrapText="1" readingOrder="1"/>
    </xf>
    <xf numFmtId="0" fontId="41" fillId="43" borderId="15" xfId="0" applyFont="1" applyFill="1" applyBorder="1" applyAlignment="1">
      <alignment horizontal="left" vertical="top" wrapText="1" readingOrder="1"/>
    </xf>
    <xf numFmtId="0" fontId="43" fillId="45" borderId="15" xfId="0" applyFont="1" applyFill="1" applyBorder="1" applyAlignment="1">
      <alignment horizontal="left" vertical="top" wrapText="1" readingOrder="1"/>
    </xf>
    <xf numFmtId="0" fontId="45" fillId="47" borderId="15" xfId="0" applyFont="1" applyFill="1" applyBorder="1" applyAlignment="1">
      <alignment horizontal="left" vertical="top" wrapText="1" readingOrder="1"/>
    </xf>
    <xf numFmtId="0" fontId="47" fillId="49" borderId="15" xfId="0" applyFont="1" applyFill="1" applyBorder="1" applyAlignment="1">
      <alignment horizontal="left" vertical="top" wrapText="1" readingOrder="1"/>
    </xf>
    <xf numFmtId="0" fontId="49" fillId="51" borderId="15" xfId="0" applyFont="1" applyFill="1" applyBorder="1" applyAlignment="1">
      <alignment horizontal="left" vertical="top" wrapText="1" readingOrder="1"/>
    </xf>
    <xf numFmtId="0" fontId="51" fillId="53" borderId="15" xfId="0" applyFont="1" applyFill="1" applyBorder="1" applyAlignment="1">
      <alignment horizontal="left" vertical="top" wrapText="1" readingOrder="1"/>
    </xf>
    <xf numFmtId="0" fontId="53" fillId="55" borderId="15" xfId="0" applyFont="1" applyFill="1" applyBorder="1" applyAlignment="1">
      <alignment horizontal="left" vertical="top" wrapText="1" readingOrder="1"/>
    </xf>
    <xf numFmtId="0" fontId="55" fillId="57" borderId="15" xfId="0" applyFont="1" applyFill="1" applyBorder="1" applyAlignment="1">
      <alignment horizontal="left" vertical="top" wrapText="1" readingOrder="1"/>
    </xf>
    <xf numFmtId="0" fontId="57" fillId="59" borderId="15" xfId="0" applyFont="1" applyFill="1" applyBorder="1" applyAlignment="1">
      <alignment horizontal="left" vertical="top" wrapText="1" readingOrder="1"/>
    </xf>
    <xf numFmtId="0" fontId="59" fillId="61" borderId="15" xfId="0" applyFont="1" applyFill="1" applyBorder="1" applyAlignment="1">
      <alignment horizontal="left" vertical="top" wrapText="1" readingOrder="1"/>
    </xf>
    <xf numFmtId="0" fontId="61" fillId="63" borderId="15" xfId="0" applyFont="1" applyFill="1" applyBorder="1" applyAlignment="1">
      <alignment horizontal="left" vertical="top" wrapText="1" readingOrder="1"/>
    </xf>
    <xf numFmtId="0" fontId="63" fillId="65" borderId="15" xfId="0" applyFont="1" applyFill="1" applyBorder="1" applyAlignment="1">
      <alignment horizontal="left" vertical="top" wrapText="1" readingOrder="1"/>
    </xf>
    <xf numFmtId="0" fontId="65" fillId="67" borderId="15" xfId="0" applyFont="1" applyFill="1" applyBorder="1" applyAlignment="1">
      <alignment horizontal="left" vertical="top" wrapText="1" readingOrder="1"/>
    </xf>
    <xf numFmtId="0" fontId="67" fillId="69" borderId="15" xfId="0" applyFont="1" applyFill="1" applyBorder="1" applyAlignment="1">
      <alignment horizontal="left" vertical="top" wrapText="1" readingOrder="1"/>
    </xf>
    <xf numFmtId="0" fontId="69" fillId="71" borderId="15" xfId="0" applyFont="1" applyFill="1" applyBorder="1" applyAlignment="1">
      <alignment horizontal="left" vertical="top" wrapText="1" readingOrder="1"/>
    </xf>
    <xf numFmtId="0" fontId="71" fillId="73" borderId="15" xfId="0" applyFont="1" applyFill="1" applyBorder="1" applyAlignment="1">
      <alignment horizontal="left" vertical="top" wrapText="1" readingOrder="1"/>
    </xf>
    <xf numFmtId="0" fontId="73" fillId="75" borderId="15" xfId="0" applyFont="1" applyFill="1" applyBorder="1" applyAlignment="1">
      <alignment horizontal="left" vertical="top" wrapText="1" readingOrder="1"/>
    </xf>
    <xf numFmtId="0" fontId="75" fillId="77" borderId="15" xfId="0" applyFont="1" applyFill="1" applyBorder="1" applyAlignment="1">
      <alignment horizontal="left" vertical="top" wrapText="1" readingOrder="1"/>
    </xf>
    <xf numFmtId="0" fontId="77" fillId="79" borderId="15" xfId="0" applyFont="1" applyFill="1" applyBorder="1" applyAlignment="1">
      <alignment horizontal="left" vertical="top" wrapText="1" readingOrder="1"/>
    </xf>
    <xf numFmtId="0" fontId="79" fillId="81" borderId="15" xfId="0" applyFont="1" applyFill="1" applyBorder="1" applyAlignment="1">
      <alignment horizontal="left" vertical="top" wrapText="1" readingOrder="1"/>
    </xf>
    <xf numFmtId="0" fontId="6" fillId="7" borderId="17" xfId="0" applyFont="1" applyFill="1" applyBorder="1" applyAlignment="1">
      <alignment horizontal="left" vertical="top" wrapText="1" readingOrder="1"/>
    </xf>
    <xf numFmtId="0" fontId="2" fillId="8" borderId="18" xfId="0" applyFont="1" applyFill="1" applyBorder="1" applyAlignment="1">
      <alignment horizontal="left" vertical="top" wrapText="1" readingOrder="1"/>
    </xf>
    <xf numFmtId="0" fontId="81" fillId="83" borderId="19" xfId="0" applyFont="1" applyFill="1" applyBorder="1" applyAlignment="1">
      <alignment horizontal="left" vertical="top" wrapText="1" readingOrder="1"/>
    </xf>
    <xf numFmtId="0" fontId="0" fillId="0" borderId="0" xfId="0" applyAlignment="1">
      <alignment vertical="center"/>
    </xf>
    <xf numFmtId="2" fontId="0" fillId="0" borderId="0" xfId="0" applyNumberFormat="1" applyAlignment="1">
      <alignment vertical="center"/>
    </xf>
    <xf numFmtId="0" fontId="0" fillId="0" borderId="0" xfId="0" applyAlignment="1">
      <alignment vertical="center" wrapText="1"/>
    </xf>
    <xf numFmtId="164" fontId="56" fillId="58" borderId="16" xfId="0" applyNumberFormat="1" applyFont="1" applyFill="1" applyBorder="1" applyAlignment="1">
      <alignment horizontal="right" wrapText="1" readingOrder="1"/>
    </xf>
    <xf numFmtId="164" fontId="18" fillId="20" borderId="16" xfId="0" applyNumberFormat="1" applyFont="1" applyFill="1" applyBorder="1" applyAlignment="1">
      <alignment horizontal="right" wrapText="1" readingOrder="1"/>
    </xf>
    <xf numFmtId="164" fontId="20" fillId="22" borderId="16" xfId="0" applyNumberFormat="1" applyFont="1" applyFill="1" applyBorder="1" applyAlignment="1">
      <alignment horizontal="right" wrapText="1" readingOrder="1"/>
    </xf>
    <xf numFmtId="164" fontId="78" fillId="80" borderId="16" xfId="0" applyNumberFormat="1" applyFont="1" applyFill="1" applyBorder="1" applyAlignment="1">
      <alignment horizontal="right" wrapText="1" readingOrder="1"/>
    </xf>
    <xf numFmtId="164" fontId="36" fillId="38" borderId="16" xfId="0" applyNumberFormat="1" applyFont="1" applyFill="1" applyBorder="1" applyAlignment="1">
      <alignment horizontal="right" wrapText="1" readingOrder="1"/>
    </xf>
    <xf numFmtId="164" fontId="34" fillId="36" borderId="16" xfId="0" applyNumberFormat="1" applyFont="1" applyFill="1" applyBorder="1" applyAlignment="1">
      <alignment horizontal="right" wrapText="1" readingOrder="1"/>
    </xf>
    <xf numFmtId="164" fontId="50" fillId="52" borderId="16" xfId="0" applyNumberFormat="1" applyFont="1" applyFill="1" applyBorder="1" applyAlignment="1">
      <alignment horizontal="right" wrapText="1" readingOrder="1"/>
    </xf>
    <xf numFmtId="164" fontId="26" fillId="28" borderId="16" xfId="0" applyNumberFormat="1" applyFont="1" applyFill="1" applyBorder="1" applyAlignment="1">
      <alignment horizontal="right" wrapText="1" readingOrder="1"/>
    </xf>
    <xf numFmtId="164" fontId="68" fillId="70" borderId="16" xfId="0" applyNumberFormat="1" applyFont="1" applyFill="1" applyBorder="1" applyAlignment="1">
      <alignment horizontal="right" wrapText="1" readingOrder="1"/>
    </xf>
    <xf numFmtId="164" fontId="16" fillId="18" borderId="16" xfId="0" applyNumberFormat="1" applyFont="1" applyFill="1" applyBorder="1" applyAlignment="1">
      <alignment horizontal="right" wrapText="1" readingOrder="1"/>
    </xf>
    <xf numFmtId="164" fontId="42" fillId="44" borderId="16" xfId="0" applyNumberFormat="1" applyFont="1" applyFill="1" applyBorder="1" applyAlignment="1">
      <alignment horizontal="right" wrapText="1" readingOrder="1"/>
    </xf>
    <xf numFmtId="164" fontId="52" fillId="54" borderId="16" xfId="0" applyNumberFormat="1" applyFont="1" applyFill="1" applyBorder="1" applyAlignment="1">
      <alignment horizontal="right" wrapText="1" readingOrder="1"/>
    </xf>
    <xf numFmtId="164" fontId="64" fillId="66" borderId="16" xfId="0" applyNumberFormat="1" applyFont="1" applyFill="1" applyBorder="1" applyAlignment="1">
      <alignment horizontal="right" wrapText="1" readingOrder="1"/>
    </xf>
    <xf numFmtId="164" fontId="48" fillId="50" borderId="16" xfId="0" applyNumberFormat="1" applyFont="1" applyFill="1" applyBorder="1" applyAlignment="1">
      <alignment horizontal="right" wrapText="1" readingOrder="1"/>
    </xf>
    <xf numFmtId="164" fontId="44" fillId="46" borderId="16" xfId="0" applyNumberFormat="1" applyFont="1" applyFill="1" applyBorder="1" applyAlignment="1">
      <alignment horizontal="right" wrapText="1" readingOrder="1"/>
    </xf>
    <xf numFmtId="164" fontId="72" fillId="74" borderId="16" xfId="0" applyNumberFormat="1" applyFont="1" applyFill="1" applyBorder="1" applyAlignment="1">
      <alignment horizontal="right" wrapText="1" readingOrder="1"/>
    </xf>
    <xf numFmtId="164" fontId="22" fillId="24" borderId="16" xfId="0" applyNumberFormat="1" applyFont="1" applyFill="1" applyBorder="1" applyAlignment="1">
      <alignment horizontal="right" wrapText="1" readingOrder="1"/>
    </xf>
    <xf numFmtId="164" fontId="66" fillId="68" borderId="16" xfId="0" applyNumberFormat="1" applyFont="1" applyFill="1" applyBorder="1" applyAlignment="1">
      <alignment horizontal="right" wrapText="1" readingOrder="1"/>
    </xf>
    <xf numFmtId="164" fontId="70" fillId="72" borderId="16" xfId="0" applyNumberFormat="1" applyFont="1" applyFill="1" applyBorder="1" applyAlignment="1">
      <alignment horizontal="right" wrapText="1" readingOrder="1"/>
    </xf>
    <xf numFmtId="164" fontId="46" fillId="48" borderId="16" xfId="0" applyNumberFormat="1" applyFont="1" applyFill="1" applyBorder="1" applyAlignment="1">
      <alignment horizontal="right" wrapText="1" readingOrder="1"/>
    </xf>
    <xf numFmtId="164" fontId="60" fillId="62" borderId="16" xfId="0" applyNumberFormat="1" applyFont="1" applyFill="1" applyBorder="1" applyAlignment="1">
      <alignment horizontal="right" wrapText="1" readingOrder="1"/>
    </xf>
    <xf numFmtId="164" fontId="28" fillId="30" borderId="16" xfId="0" applyNumberFormat="1" applyFont="1" applyFill="1" applyBorder="1" applyAlignment="1">
      <alignment horizontal="right" wrapText="1" readingOrder="1"/>
    </xf>
    <xf numFmtId="164" fontId="38" fillId="40" borderId="16" xfId="0" applyNumberFormat="1" applyFont="1" applyFill="1" applyBorder="1" applyAlignment="1">
      <alignment horizontal="right" wrapText="1" readingOrder="1"/>
    </xf>
    <xf numFmtId="164" fontId="80" fillId="82" borderId="16" xfId="0" applyNumberFormat="1" applyFont="1" applyFill="1" applyBorder="1" applyAlignment="1">
      <alignment horizontal="right" wrapText="1" readingOrder="1"/>
    </xf>
    <xf numFmtId="164" fontId="14" fillId="16" borderId="16" xfId="0" applyNumberFormat="1" applyFont="1" applyFill="1" applyBorder="1" applyAlignment="1">
      <alignment horizontal="right" wrapText="1" readingOrder="1"/>
    </xf>
    <xf numFmtId="164" fontId="30" fillId="32" borderId="16" xfId="0" applyNumberFormat="1" applyFont="1" applyFill="1" applyBorder="1" applyAlignment="1">
      <alignment horizontal="right" wrapText="1" readingOrder="1"/>
    </xf>
    <xf numFmtId="164" fontId="24" fillId="26" borderId="16" xfId="0" applyNumberFormat="1" applyFont="1" applyFill="1" applyBorder="1" applyAlignment="1">
      <alignment horizontal="right" wrapText="1" readingOrder="1"/>
    </xf>
    <xf numFmtId="164" fontId="74" fillId="76" borderId="16" xfId="0" applyNumberFormat="1" applyFont="1" applyFill="1" applyBorder="1" applyAlignment="1">
      <alignment horizontal="right" wrapText="1" readingOrder="1"/>
    </xf>
    <xf numFmtId="164" fontId="8" fillId="10" borderId="16" xfId="0" applyNumberFormat="1" applyFont="1" applyFill="1" applyBorder="1" applyAlignment="1">
      <alignment horizontal="right" wrapText="1" readingOrder="1"/>
    </xf>
    <xf numFmtId="164" fontId="40" fillId="42" borderId="16" xfId="0" applyNumberFormat="1" applyFont="1" applyFill="1" applyBorder="1" applyAlignment="1">
      <alignment horizontal="right" wrapText="1" readingOrder="1"/>
    </xf>
    <xf numFmtId="164" fontId="12" fillId="14" borderId="16" xfId="0" applyNumberFormat="1" applyFont="1" applyFill="1" applyBorder="1" applyAlignment="1">
      <alignment horizontal="right" wrapText="1" readingOrder="1"/>
    </xf>
    <xf numFmtId="164" fontId="54" fillId="56" borderId="16" xfId="0" applyNumberFormat="1" applyFont="1" applyFill="1" applyBorder="1" applyAlignment="1">
      <alignment horizontal="right" wrapText="1" readingOrder="1"/>
    </xf>
    <xf numFmtId="164" fontId="58" fillId="60" borderId="16" xfId="0" applyNumberFormat="1" applyFont="1" applyFill="1" applyBorder="1" applyAlignment="1">
      <alignment horizontal="right" wrapText="1" readingOrder="1"/>
    </xf>
    <xf numFmtId="164" fontId="10" fillId="12" borderId="16" xfId="0" applyNumberFormat="1" applyFont="1" applyFill="1" applyBorder="1" applyAlignment="1">
      <alignment horizontal="right" wrapText="1" readingOrder="1"/>
    </xf>
    <xf numFmtId="164" fontId="62" fillId="64" borderId="16" xfId="0" applyNumberFormat="1" applyFont="1" applyFill="1" applyBorder="1" applyAlignment="1">
      <alignment horizontal="right" wrapText="1" readingOrder="1"/>
    </xf>
    <xf numFmtId="164" fontId="32" fillId="34" borderId="16" xfId="0" applyNumberFormat="1" applyFont="1" applyFill="1" applyBorder="1" applyAlignment="1">
      <alignment horizontal="right" wrapText="1" readingOrder="1"/>
    </xf>
    <xf numFmtId="164" fontId="76" fillId="78" borderId="16" xfId="0" applyNumberFormat="1" applyFont="1" applyFill="1" applyBorder="1" applyAlignment="1">
      <alignment horizontal="right" wrapText="1" readingOrder="1"/>
    </xf>
    <xf numFmtId="164" fontId="82" fillId="84" borderId="20" xfId="0" applyNumberFormat="1" applyFont="1" applyFill="1" applyBorder="1" applyAlignment="1">
      <alignment horizontal="right" wrapText="1" readingOrder="1"/>
    </xf>
    <xf numFmtId="0" fontId="92" fillId="0" borderId="0" xfId="0" applyFont="1"/>
    <xf numFmtId="0" fontId="93" fillId="0" borderId="14" xfId="0" applyFont="1" applyBorder="1" applyAlignment="1">
      <alignment horizontal="center"/>
    </xf>
    <xf numFmtId="0" fontId="95" fillId="0" borderId="0" xfId="0" applyFont="1" applyAlignment="1">
      <alignment horizontal="left" vertical="center" wrapText="1" indent="1"/>
    </xf>
    <xf numFmtId="0" fontId="97" fillId="0" borderId="0" xfId="0" applyFont="1" applyAlignment="1">
      <alignment horizontal="left" vertical="center" wrapText="1" indent="1"/>
    </xf>
    <xf numFmtId="0" fontId="94" fillId="94" borderId="14" xfId="0" applyFont="1" applyFill="1" applyBorder="1" applyAlignment="1">
      <alignment horizontal="center" vertical="center"/>
    </xf>
  </cellXfs>
  <cellStyles count="1">
    <cellStyle name="Normal" xfId="0" builtinId="0"/>
  </cellStyles>
  <dxfs count="12">
    <dxf>
      <font>
        <b val="0"/>
        <i val="0"/>
        <strike val="0"/>
        <condense val="0"/>
        <extend val="0"/>
        <outline val="0"/>
        <shadow val="0"/>
        <u val="none"/>
        <vertAlign val="baseline"/>
        <sz val="11"/>
        <color auto="1"/>
        <name val="Calibri"/>
        <family val="2"/>
        <scheme val="none"/>
      </font>
      <numFmt numFmtId="164" formatCode="#,##0.0\ _€"/>
      <fill>
        <patternFill patternType="none">
          <fgColor auto="1"/>
          <bgColor auto="1"/>
        </patternFill>
      </fill>
      <alignment horizontal="right" vertical="bottom" textRotation="0" wrapText="1" indent="0" justifyLastLine="0" shrinkToFit="0" readingOrder="1"/>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1"/>
        <color rgb="FF000000"/>
        <name val="Calibri"/>
        <family val="2"/>
        <scheme val="none"/>
      </font>
      <fill>
        <patternFill patternType="solid">
          <fgColor indexed="64"/>
          <bgColor rgb="FFE2F2FB"/>
        </patternFill>
      </fill>
      <alignment horizontal="left" vertical="top" textRotation="0" wrapText="1" indent="0" justifyLastLine="0" shrinkToFit="0" readingOrder="1"/>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numFmt numFmtId="2" formatCode="0.00"/>
      <alignment horizontal="general" vertical="center" textRotation="0" wrapText="0" indent="0" justifyLastLine="0" shrinkToFit="0" readingOrder="0"/>
    </dxf>
    <dxf>
      <numFmt numFmtId="2" formatCode="0.00"/>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fr-FR"/>
              <a:t>Dépense santé</a:t>
            </a:r>
            <a:r>
              <a:rPr lang="fr-FR" baseline="0"/>
              <a:t> par habitant, par pays (OCDE,2025) </a:t>
            </a:r>
            <a:endParaRPr lang="fr-F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spPr>
            <a:gradFill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onnées!$B$8:$B$45</c:f>
              <c:strCache>
                <c:ptCount val="38"/>
                <c:pt idx="0">
                  <c:v>Australia</c:v>
                </c:pt>
                <c:pt idx="1">
                  <c:v>Austria</c:v>
                </c:pt>
                <c:pt idx="2">
                  <c:v>Belgium</c:v>
                </c:pt>
                <c:pt idx="3">
                  <c:v>Canada</c:v>
                </c:pt>
                <c:pt idx="4">
                  <c:v>Chile</c:v>
                </c:pt>
                <c:pt idx="5">
                  <c:v>Colombia</c:v>
                </c:pt>
                <c:pt idx="6">
                  <c:v>Costa Rica</c:v>
                </c:pt>
                <c:pt idx="7">
                  <c:v>Czechia</c:v>
                </c:pt>
                <c:pt idx="8">
                  <c:v>Denmark</c:v>
                </c:pt>
                <c:pt idx="9">
                  <c:v>Estonia</c:v>
                </c:pt>
                <c:pt idx="10">
                  <c:v>Finland</c:v>
                </c:pt>
                <c:pt idx="11">
                  <c:v>France</c:v>
                </c:pt>
                <c:pt idx="12">
                  <c:v>Germany</c:v>
                </c:pt>
                <c:pt idx="13">
                  <c:v>Greece</c:v>
                </c:pt>
                <c:pt idx="14">
                  <c:v>Hungary</c:v>
                </c:pt>
                <c:pt idx="15">
                  <c:v>Iceland</c:v>
                </c:pt>
                <c:pt idx="16">
                  <c:v>Ireland</c:v>
                </c:pt>
                <c:pt idx="17">
                  <c:v>Israel</c:v>
                </c:pt>
                <c:pt idx="18">
                  <c:v>Italy</c:v>
                </c:pt>
                <c:pt idx="19">
                  <c:v>Japan</c:v>
                </c:pt>
                <c:pt idx="20">
                  <c:v>Korea</c:v>
                </c:pt>
                <c:pt idx="21">
                  <c:v>Latvia</c:v>
                </c:pt>
                <c:pt idx="22">
                  <c:v>Lithuania</c:v>
                </c:pt>
                <c:pt idx="23">
                  <c:v>Luxembourg</c:v>
                </c:pt>
                <c:pt idx="24">
                  <c:v>Mexico</c:v>
                </c:pt>
                <c:pt idx="25">
                  <c:v>Netherlands</c:v>
                </c:pt>
                <c:pt idx="26">
                  <c:v>New Zealand</c:v>
                </c:pt>
                <c:pt idx="27">
                  <c:v>Norway</c:v>
                </c:pt>
                <c:pt idx="28">
                  <c:v>Poland</c:v>
                </c:pt>
                <c:pt idx="29">
                  <c:v>Portugal</c:v>
                </c:pt>
                <c:pt idx="30">
                  <c:v>Slovak Republic</c:v>
                </c:pt>
                <c:pt idx="31">
                  <c:v>Slovenia</c:v>
                </c:pt>
                <c:pt idx="32">
                  <c:v>Spain</c:v>
                </c:pt>
                <c:pt idx="33">
                  <c:v>Sweden</c:v>
                </c:pt>
                <c:pt idx="34">
                  <c:v>Switzerland</c:v>
                </c:pt>
                <c:pt idx="35">
                  <c:v>Türkiye</c:v>
                </c:pt>
                <c:pt idx="36">
                  <c:v>United Kingdom</c:v>
                </c:pt>
                <c:pt idx="37">
                  <c:v>United States</c:v>
                </c:pt>
              </c:strCache>
            </c:strRef>
          </c:cat>
          <c:val>
            <c:numRef>
              <c:f>onnées!$C$8:$C$45</c:f>
              <c:numCache>
                <c:formatCode>#\ ##0.0\ _€</c:formatCode>
                <c:ptCount val="38"/>
                <c:pt idx="0">
                  <c:v>5041.8289999999997</c:v>
                </c:pt>
                <c:pt idx="1">
                  <c:v>5604.3559999999998</c:v>
                </c:pt>
                <c:pt idx="2">
                  <c:v>5120.12</c:v>
                </c:pt>
                <c:pt idx="3">
                  <c:v>4631.6869999999999</c:v>
                </c:pt>
                <c:pt idx="4">
                  <c:v>2526.94</c:v>
                </c:pt>
                <c:pt idx="5">
                  <c:v>1288.529</c:v>
                </c:pt>
                <c:pt idx="6">
                  <c:v>1362.3879999999999</c:v>
                </c:pt>
                <c:pt idx="7">
                  <c:v>3462.96</c:v>
                </c:pt>
                <c:pt idx="8">
                  <c:v>4677.1540000000005</c:v>
                </c:pt>
                <c:pt idx="9">
                  <c:v>2503.8780000000002</c:v>
                </c:pt>
                <c:pt idx="10">
                  <c:v>4180.799</c:v>
                </c:pt>
                <c:pt idx="11">
                  <c:v>4641.5720000000001</c:v>
                </c:pt>
                <c:pt idx="12">
                  <c:v>6242.1409999999996</c:v>
                </c:pt>
                <c:pt idx="13">
                  <c:v>2346.3490000000002</c:v>
                </c:pt>
                <c:pt idx="14">
                  <c:v>2090.75</c:v>
                </c:pt>
                <c:pt idx="15">
                  <c:v>4402.8969999999999</c:v>
                </c:pt>
                <c:pt idx="16">
                  <c:v>5112.0029999999997</c:v>
                </c:pt>
                <c:pt idx="17">
                  <c:v>2656.0230000000001</c:v>
                </c:pt>
                <c:pt idx="18">
                  <c:v>3292.7280000000001</c:v>
                </c:pt>
                <c:pt idx="19">
                  <c:v>3623.828</c:v>
                </c:pt>
                <c:pt idx="20">
                  <c:v>3259.1790000000001</c:v>
                </c:pt>
                <c:pt idx="21">
                  <c:v>2446.442</c:v>
                </c:pt>
                <c:pt idx="22">
                  <c:v>2734.5770000000002</c:v>
                </c:pt>
                <c:pt idx="23">
                  <c:v>5237.2830000000004</c:v>
                </c:pt>
                <c:pt idx="24">
                  <c:v>1036.546</c:v>
                </c:pt>
                <c:pt idx="25">
                  <c:v>5532.3429999999998</c:v>
                </c:pt>
                <c:pt idx="26">
                  <c:v>3737.8159999999998</c:v>
                </c:pt>
                <c:pt idx="27">
                  <c:v>5679.5789999999997</c:v>
                </c:pt>
                <c:pt idx="28">
                  <c:v>3163.6909999999998</c:v>
                </c:pt>
                <c:pt idx="29">
                  <c:v>3476.355</c:v>
                </c:pt>
                <c:pt idx="30">
                  <c:v>2506.1709999999998</c:v>
                </c:pt>
                <c:pt idx="31">
                  <c:v>3510.9009999999998</c:v>
                </c:pt>
                <c:pt idx="32">
                  <c:v>3338.8980000000001</c:v>
                </c:pt>
                <c:pt idx="33">
                  <c:v>4824.9629999999997</c:v>
                </c:pt>
                <c:pt idx="34">
                  <c:v>6562.1170000000002</c:v>
                </c:pt>
                <c:pt idx="35">
                  <c:v>1477.8920000000001</c:v>
                </c:pt>
                <c:pt idx="36">
                  <c:v>4521.6909999999998</c:v>
                </c:pt>
                <c:pt idx="37">
                  <c:v>9776.4570000000003</c:v>
                </c:pt>
              </c:numCache>
            </c:numRef>
          </c:val>
          <c:extLst>
            <c:ext xmlns:c16="http://schemas.microsoft.com/office/drawing/2014/chart" uri="{C3380CC4-5D6E-409C-BE32-E72D297353CC}">
              <c16:uniqueId val="{00000000-71FE-A445-8353-764ED7112558}"/>
            </c:ext>
          </c:extLst>
        </c:ser>
        <c:dLbls>
          <c:dLblPos val="outEnd"/>
          <c:showLegendKey val="0"/>
          <c:showVal val="1"/>
          <c:showCatName val="0"/>
          <c:showSerName val="0"/>
          <c:showPercent val="0"/>
          <c:showBubbleSize val="0"/>
        </c:dLbls>
        <c:gapWidth val="100"/>
        <c:overlap val="-24"/>
        <c:axId val="438879551"/>
        <c:axId val="438881343"/>
      </c:barChart>
      <c:catAx>
        <c:axId val="4388795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8881343"/>
        <c:crosses val="autoZero"/>
        <c:auto val="1"/>
        <c:lblAlgn val="ctr"/>
        <c:lblOffset val="100"/>
        <c:noMultiLvlLbl val="0"/>
      </c:catAx>
      <c:valAx>
        <c:axId val="438881343"/>
        <c:scaling>
          <c:orientation val="minMax"/>
        </c:scaling>
        <c:delete val="0"/>
        <c:axPos val="l"/>
        <c:majorGridlines>
          <c:spPr>
            <a:ln w="9525" cap="flat" cmpd="sng" algn="ctr">
              <a:solidFill>
                <a:schemeClr val="tx1">
                  <a:lumMod val="15000"/>
                  <a:lumOff val="85000"/>
                </a:schemeClr>
              </a:solidFill>
              <a:round/>
            </a:ln>
            <a:effectLst/>
          </c:spPr>
        </c:majorGridlines>
        <c:numFmt formatCode="#\ ##0.0\ 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3887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Dépense santé par habitant des pays de l'OCDE (boxplot) </cx:v>
        </cx:txData>
      </cx:tx>
      <cx:txPr>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fr-FR" sz="1400" b="0" i="0" u="none" strike="noStrike" baseline="0">
              <a:solidFill>
                <a:sysClr val="windowText" lastClr="000000">
                  <a:lumMod val="65000"/>
                  <a:lumOff val="35000"/>
                </a:sysClr>
              </a:solidFill>
              <a:latin typeface="Calibri" panose="020F0502020204030204"/>
            </a:rPr>
            <a:t>Dépense santé par habitant des pays de l'OCDE (boxplot) </a:t>
          </a:r>
        </a:p>
      </cx:txPr>
      <cx:extLst>
        <cx:ext uri="ext:featex">
          <cx:featureExtension feature="mp" drop="onModelChange">
            <cx:offset top="0.0138888880610466" left="0.1805555522441864"/>
          </cx:featureExtension>
        </cx:ext>
      </cx:extLst>
    </cx:title>
    <cx:plotArea>
      <cx:plotAreaRegion>
        <cx:series layoutId="boxWhisker" uniqueId="{527102B3-FFFE-8C48-85DB-B32E2651E008}">
          <cx:spPr>
            <a:noFill/>
            <a:ln>
              <a:solidFill>
                <a:schemeClr val="accent5">
                  <a:lumMod val="50000"/>
                </a:schemeClr>
              </a:solidFill>
            </a:ln>
          </cx:spPr>
          <cx:dataId val="0"/>
          <cx:layoutPr>
            <cx:visibility meanLine="1" meanMarker="1" nonoutliers="1" outliers="1"/>
            <cx:statistics quartileMethod="exclusive"/>
          </cx:layoutPr>
        </cx:series>
      </cx:plotAreaRegion>
      <cx:axis id="0">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fr-FR" sz="900" b="0" i="0" u="none" strike="noStrike" baseline="0">
            <a:solidFill>
              <a:sysClr val="windowText" lastClr="000000">
                <a:lumMod val="65000"/>
                <a:lumOff val="35000"/>
              </a:sysClr>
            </a:solidFill>
            <a:latin typeface="Calibri" panose="020F0502020204030204"/>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fr-FR" sz="1500" b="0" i="0" u="none" strike="noStrike" cap="all" spc="100" baseline="0">
                <a:solidFill>
                  <a:sysClr val="window" lastClr="FFFFFF"/>
                </a:solidFill>
                <a:effectLst/>
                <a:latin typeface="Calibri" panose="020F0502020204030204"/>
                <a:ea typeface="Calibri" panose="020F0502020204030204" pitchFamily="34" charset="0"/>
                <a:cs typeface="Calibri" panose="020F0502020204030204" pitchFamily="34" charset="0"/>
              </a:rPr>
              <a:t>Dépenses de santé par habitant, par pays (OCDE, 2025)</a:t>
            </a:r>
            <a:endParaRPr lang="fr-FR" sz="1500" b="1" i="0" u="none" strike="noStrike" cap="all" spc="100" baseline="0">
              <a:solidFill>
                <a:sysClr val="window" lastClr="FFFFFF"/>
              </a:solidFill>
              <a:latin typeface="Calibri" panose="020F0502020204030204"/>
            </a:endParaRPr>
          </a:p>
        </cx:rich>
      </cx:tx>
      <cx:extLst>
        <cx:ext uri="ext:featex">
          <cx:featureExtension feature="mp" drop="onModelChange">
            <cx:offset top="0.015262466855347157" left="0.15262576937675476"/>
          </cx:featureExtension>
        </cx:ext>
      </cx:extLst>
    </cx:title>
    <cx:plotArea>
      <cx:plotAreaRegion>
        <cx:plotSurface>
          <cx:spPr>
            <a:solidFill>
              <a:schemeClr val="accent5">
                <a:lumMod val="75000"/>
              </a:schemeClr>
            </a:solidFill>
          </cx:spPr>
        </cx:plotSurface>
        <cx:series layoutId="clusteredColumn" uniqueId="{9FD36DE8-8B8E-A14D-B160-BF1548A2ADDB}">
          <cx:tx>
            <cx:txData>
              <cx:f>_xlchart.v1.1</cx:f>
              <cx:v>Dépenses de santé par habitants</cx:v>
            </cx:txData>
          </cx:tx>
          <cx:dataPt idx="0"/>
          <cx:dataPt idx="2"/>
          <cx:dataId val="0"/>
          <cx:layoutPr>
            <cx:binning intervalClosed="r"/>
          </cx:layoutPr>
        </cx:series>
      </cx:plotAreaRegion>
      <cx:axis id="0">
        <cx:catScaling gapWidth="0"/>
        <cx:title>
          <cx:tx>
            <cx:rich>
              <a:bodyPr spcFirstLastPara="1" vertOverflow="ellipsis" horzOverflow="overflow" wrap="square" lIns="0" tIns="0" rIns="0" bIns="0" anchor="ctr" anchorCtr="1"/>
              <a:lstStyle/>
              <a:p>
                <a:pPr algn="ctr" rtl="0">
                  <a:defRPr/>
                </a:pPr>
                <a:r>
                  <a:rPr lang="fr-FR" sz="900" b="0" i="0" u="none" strike="noStrike" baseline="0">
                    <a:solidFill>
                      <a:sysClr val="window" lastClr="FFFFFF"/>
                    </a:solidFill>
                    <a:effectLst/>
                    <a:latin typeface="Calibri" panose="020F0502020204030204"/>
                    <a:ea typeface="Calibri" panose="020F0502020204030204" pitchFamily="34" charset="0"/>
                    <a:cs typeface="Calibri" panose="020F0502020204030204" pitchFamily="34" charset="0"/>
                  </a:rPr>
                  <a:t>Dépense de santé par habitant (€ PPA)</a:t>
                </a:r>
                <a:endParaRPr lang="fr-FR" sz="900" b="0" i="0" u="none" strike="noStrike" baseline="0">
                  <a:solidFill>
                    <a:sysClr val="window" lastClr="FFFFFF"/>
                  </a:solidFill>
                  <a:latin typeface="Calibri" panose="020F0502020204030204"/>
                </a:endParaRPr>
              </a:p>
            </cx:rich>
          </cx:tx>
        </cx:title>
        <cx:tickLabels/>
      </cx:axis>
      <cx:axis id="1">
        <cx:valScaling/>
        <cx:title>
          <cx:tx>
            <cx:rich>
              <a:bodyPr spcFirstLastPara="1" vertOverflow="ellipsis" horzOverflow="overflow" wrap="square" lIns="0" tIns="0" rIns="0" bIns="0" anchor="ctr" anchorCtr="1"/>
              <a:lstStyle/>
              <a:p>
                <a:pPr algn="ctr" rtl="0">
                  <a:defRPr/>
                </a:pPr>
                <a:r>
                  <a:rPr lang="fr-FR" sz="900" b="0" i="0" u="none" strike="noStrike" baseline="0">
                    <a:solidFill>
                      <a:sysClr val="window" lastClr="FFFFFF"/>
                    </a:solidFill>
                    <a:effectLst/>
                    <a:latin typeface="Calibri" panose="020F0502020204030204"/>
                    <a:ea typeface="Calibri" panose="020F0502020204030204" pitchFamily="34" charset="0"/>
                    <a:cs typeface="Calibri" panose="020F0502020204030204" pitchFamily="34" charset="0"/>
                  </a:rPr>
                  <a:t>Nombre de pays (effectif)</a:t>
                </a:r>
                <a:endParaRPr lang="fr-FR" sz="900" b="0" i="0" u="none" strike="noStrike" baseline="0">
                  <a:solidFill>
                    <a:sysClr val="window" lastClr="FFFFFF"/>
                  </a:solidFill>
                  <a:latin typeface="Calibri" panose="020F0502020204030204"/>
                </a:endParaRPr>
              </a:p>
            </cx:rich>
          </cx:tx>
        </cx:title>
        <cx:majorGridlines/>
        <cx:tickLabels/>
      </cx:axis>
    </cx:plotArea>
  </cx:chart>
  <cx:spPr>
    <a:solidFill>
      <a:schemeClr val="accent5">
        <a:lumMod val="7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73">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720132</xdr:colOff>
      <xdr:row>14</xdr:row>
      <xdr:rowOff>166217</xdr:rowOff>
    </xdr:from>
    <xdr:to>
      <xdr:col>11</xdr:col>
      <xdr:colOff>174032</xdr:colOff>
      <xdr:row>44</xdr:row>
      <xdr:rowOff>110533</xdr:rowOff>
    </xdr:to>
    <xdr:graphicFrame macro="">
      <xdr:nvGraphicFramePr>
        <xdr:cNvPr id="2" name="Graphique 1">
          <a:extLst>
            <a:ext uri="{FF2B5EF4-FFF2-40B4-BE49-F238E27FC236}">
              <a16:creationId xmlns:a16="http://schemas.microsoft.com/office/drawing/2014/main" id="{60A44EA0-10CA-584B-9277-8823604F5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58569</xdr:colOff>
      <xdr:row>30</xdr:row>
      <xdr:rowOff>149423</xdr:rowOff>
    </xdr:from>
    <xdr:to>
      <xdr:col>19</xdr:col>
      <xdr:colOff>272375</xdr:colOff>
      <xdr:row>51</xdr:row>
      <xdr:rowOff>128257</xdr:rowOff>
    </xdr:to>
    <mc:AlternateContent xmlns:mc="http://schemas.openxmlformats.org/markup-compatibility/2006">
      <mc:Choice xmlns:cx1="http://schemas.microsoft.com/office/drawing/2015/9/8/chartex" Requires="cx1">
        <xdr:graphicFrame macro="">
          <xdr:nvGraphicFramePr>
            <xdr:cNvPr id="3" name="Graphique 2">
              <a:extLst>
                <a:ext uri="{FF2B5EF4-FFF2-40B4-BE49-F238E27FC236}">
                  <a16:creationId xmlns:a16="http://schemas.microsoft.com/office/drawing/2014/main" id="{3303165B-EE9E-D349-91C5-BCC1205CC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9964569" y="5864423"/>
              <a:ext cx="5992306" cy="3979334"/>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twoCellAnchor>
    <xdr:from>
      <xdr:col>11</xdr:col>
      <xdr:colOff>600204</xdr:colOff>
      <xdr:row>7</xdr:row>
      <xdr:rowOff>116021</xdr:rowOff>
    </xdr:from>
    <xdr:to>
      <xdr:col>20</xdr:col>
      <xdr:colOff>671938</xdr:colOff>
      <xdr:row>28</xdr:row>
      <xdr:rowOff>16933</xdr:rowOff>
    </xdr:to>
    <mc:AlternateContent xmlns:mc="http://schemas.openxmlformats.org/markup-compatibility/2006">
      <mc:Choice xmlns:cx1="http://schemas.microsoft.com/office/drawing/2015/9/8/chartex" Requires="cx1">
        <xdr:graphicFrame macro="">
          <xdr:nvGraphicFramePr>
            <xdr:cNvPr id="6" name="Graphique 5">
              <a:extLst>
                <a:ext uri="{FF2B5EF4-FFF2-40B4-BE49-F238E27FC236}">
                  <a16:creationId xmlns:a16="http://schemas.microsoft.com/office/drawing/2014/main" id="{C2693B53-C3D9-E04D-BCB2-A8D54A9670C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680704" y="1449521"/>
              <a:ext cx="7501234" cy="3901412"/>
            </a:xfrm>
            <a:prstGeom prst="rect">
              <a:avLst/>
            </a:prstGeom>
            <a:solidFill>
              <a:prstClr val="white"/>
            </a:solidFill>
            <a:ln w="1">
              <a:solidFill>
                <a:prstClr val="green"/>
              </a:solidFill>
            </a:ln>
          </xdr:spPr>
          <xdr:txBody>
            <a:bodyPr vertOverflow="clip" horzOverflow="clip"/>
            <a:lstStyle/>
            <a:p>
              <a:r>
                <a:rPr lang="fr-FR" sz="1100"/>
                <a:t>Ce graphique n’est pas disponible dans votre version d’Excel.
La modification de cette forme ou l’enregistrement de ce classeur dans un autre format de fichier endommagera le graphique de façon irréparable.</a:t>
              </a:r>
            </a:p>
          </xdr:txBody>
        </xdr:sp>
      </mc:Fallback>
    </mc:AlternateContent>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4AC4960-4BB3-7141-A7CF-B6D97023225A}" name="Tableau3" displayName="Tableau3" ref="B7:C45" totalsRowShown="0" headerRowBorderDxfId="4" tableBorderDxfId="3" totalsRowBorderDxfId="2">
  <autoFilter ref="B7:C45" xr:uid="{74AC4960-4BB3-7141-A7CF-B6D97023225A}"/>
  <sortState xmlns:xlrd2="http://schemas.microsoft.com/office/spreadsheetml/2017/richdata2" ref="B8:C45">
    <sortCondition ref="B7:B45"/>
  </sortState>
  <tableColumns count="2">
    <tableColumn id="1" xr3:uid="{61597AEC-793B-9F4B-9E3A-935E069D99E6}" name="Pays" dataDxfId="1"/>
    <tableColumn id="3" xr3:uid="{8AFB5C3C-8C8F-6D40-B306-320EF120D5D5}" name="Dépenses de santé par habitants" data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64984-3C32-F84A-A9BF-2BCBA46BCBEF}" name="Tableau1" displayName="Tableau1" ref="C4:D21" headerRowCount="0" headerRowDxfId="11">
  <tableColumns count="2">
    <tableColumn id="1" xr3:uid="{E446466C-6CA2-CC44-A7BB-F683B450A5D8}" name="Colonne1" totalsRowLabel="Total" headerRowDxfId="10" dataDxfId="9" totalsRowDxfId="8"/>
    <tableColumn id="2" xr3:uid="{CDE5BAB6-AC6D-744C-ABF0-91C09F0DAD7D}" name="Colonne2" totalsRowFunction="sum" headerRowDxfId="7" dataDxfId="6" totalsRowDxfId="5"/>
  </tableColumns>
  <tableStyleInfo name="TableStyleLight6"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data-explorer.oecd.org/vis?tm=Health%20expenditure&amp;pg=0&amp;snb=127&amp;vw=tb&amp;df%5bds%5d=dsDisseminateFinalDMZ&amp;df%5bid%5d=DSD_SHA%40DF_SHA&amp;df%5bag%5d=OECD.ELS.HD&amp;df%5bvs%5d=1.1&amp;dq=.A.EXP_HEALTH.EUR_PPP_PS._T.._T.._T...V&amp;pd=2025,&amp;to%5bTIME_PERIOD%5d=false" TargetMode="External"/><Relationship Id="rId1" Type="http://schemas.openxmlformats.org/officeDocument/2006/relationships/hyperlink" Target="https://www.oecd.org/en/about/terms-conditions.html" TargetMode="External"/><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hyperlink" Target="https://data-explorer.oecd.orgvis/?lc=en&amp;df%5bds%5d=dsDisseminateFinalDMZ&amp;df%5bid%5d=DSD_SHA%40DF_SHA_FP&amp;df%5bag%5d=OECD.ELS.HD&amp;df%5bvs%5d=1.1" TargetMode="External"/><Relationship Id="rId2" Type="http://schemas.openxmlformats.org/officeDocument/2006/relationships/hyperlink" Target="https://data-explorer.oecd.orgvis/?lc=en&amp;df%5bds%5d=dsDisseminateFinalDMZ&amp;df%5bid%5d=DSD_SHA%40DF_SHA_HK&amp;df%5bag%5d=OECD.ELS.HD&amp;df%5bvs%5d=1.1" TargetMode="External"/><Relationship Id="rId1" Type="http://schemas.openxmlformats.org/officeDocument/2006/relationships/hyperlink" Target="https://data-explorer.oecd.orgvis/?lc=en&amp;df%5bds%5d=dsDisseminateFinalDMZ&amp;df%5bid%5d=DSD_SHA%40DF_SHA_COV&amp;df%5bag%5d=OECD.ELS.HD&amp;df%5bvs%5d=1.0" TargetMode="External"/><Relationship Id="rId4" Type="http://schemas.openxmlformats.org/officeDocument/2006/relationships/hyperlink" Target="https://data-explorer.oecd.orgvis/?lc=en&amp;df%5bds%5d=dsDisseminateFinalDMZ&amp;df%5bid%5d=DSD_SHA%40DF_SHA_FS&amp;df%5bag%5d=OECD.ELS.HD&amp;df%5bvs%5d=1.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D47"/>
  <sheetViews>
    <sheetView topLeftCell="A34" zoomScale="60" zoomScaleNormal="60" workbookViewId="0">
      <selection activeCell="B47" sqref="B47"/>
    </sheetView>
  </sheetViews>
  <sheetFormatPr baseColWidth="10" defaultColWidth="8.83203125" defaultRowHeight="15" x14ac:dyDescent="0.2"/>
  <cols>
    <col min="2" max="2" width="63.33203125" customWidth="1"/>
    <col min="3" max="3" width="30.1640625" customWidth="1"/>
  </cols>
  <sheetData>
    <row r="1" spans="2:3" x14ac:dyDescent="0.2">
      <c r="B1" s="1" t="s">
        <v>0</v>
      </c>
    </row>
    <row r="2" spans="2:3" x14ac:dyDescent="0.2">
      <c r="B2" s="2" t="s">
        <v>1</v>
      </c>
    </row>
    <row r="3" spans="2:3" x14ac:dyDescent="0.2">
      <c r="B3" s="3" t="s">
        <v>2</v>
      </c>
    </row>
    <row r="4" spans="2:3" x14ac:dyDescent="0.2">
      <c r="B4" s="4" t="s">
        <v>3</v>
      </c>
    </row>
    <row r="5" spans="2:3" x14ac:dyDescent="0.2">
      <c r="B5" s="5" t="s">
        <v>4</v>
      </c>
    </row>
    <row r="7" spans="2:3" ht="28" customHeight="1" x14ac:dyDescent="0.2">
      <c r="B7" s="52" t="s">
        <v>53</v>
      </c>
      <c r="C7" s="53" t="s">
        <v>54</v>
      </c>
    </row>
    <row r="8" spans="2:3" ht="43.25" customHeight="1" x14ac:dyDescent="0.2">
      <c r="B8" s="15" t="s">
        <v>5</v>
      </c>
      <c r="C8" s="86">
        <v>5041.8289999999997</v>
      </c>
    </row>
    <row r="9" spans="2:3" ht="43.25" customHeight="1" x14ac:dyDescent="0.2">
      <c r="B9" s="16" t="s">
        <v>6</v>
      </c>
      <c r="C9" s="91">
        <v>5604.3559999999998</v>
      </c>
    </row>
    <row r="10" spans="2:3" ht="43.25" customHeight="1" x14ac:dyDescent="0.2">
      <c r="B10" s="17" t="s">
        <v>7</v>
      </c>
      <c r="C10" s="88">
        <v>5120.12</v>
      </c>
    </row>
    <row r="11" spans="2:3" ht="43.25" customHeight="1" x14ac:dyDescent="0.2">
      <c r="B11" s="18" t="s">
        <v>8</v>
      </c>
      <c r="C11" s="82">
        <v>4631.6869999999999</v>
      </c>
    </row>
    <row r="12" spans="2:3" ht="43.25" customHeight="1" x14ac:dyDescent="0.2">
      <c r="B12" s="19" t="s">
        <v>9</v>
      </c>
      <c r="C12" s="67">
        <v>2526.94</v>
      </c>
    </row>
    <row r="13" spans="2:3" ht="43.25" customHeight="1" x14ac:dyDescent="0.2">
      <c r="B13" s="20" t="s">
        <v>10</v>
      </c>
      <c r="C13" s="59">
        <v>1288.529</v>
      </c>
    </row>
    <row r="14" spans="2:3" ht="43.25" customHeight="1" x14ac:dyDescent="0.2">
      <c r="B14" s="21" t="s">
        <v>11</v>
      </c>
      <c r="C14" s="60">
        <v>1362.3879999999999</v>
      </c>
    </row>
    <row r="15" spans="2:3" ht="43.25" customHeight="1" x14ac:dyDescent="0.2">
      <c r="B15" s="22" t="s">
        <v>12</v>
      </c>
      <c r="C15" s="74">
        <v>3462.96</v>
      </c>
    </row>
    <row r="16" spans="2:3" ht="43.25" customHeight="1" x14ac:dyDescent="0.2">
      <c r="B16" s="23" t="s">
        <v>13</v>
      </c>
      <c r="C16" s="84">
        <v>4677.1540000000005</v>
      </c>
    </row>
    <row r="17" spans="2:3" ht="43.25" customHeight="1" x14ac:dyDescent="0.2">
      <c r="B17" s="24" t="s">
        <v>14</v>
      </c>
      <c r="C17" s="65">
        <v>2503.8780000000002</v>
      </c>
    </row>
    <row r="18" spans="2:3" ht="43.25" customHeight="1" x14ac:dyDescent="0.2">
      <c r="B18" s="25" t="s">
        <v>15</v>
      </c>
      <c r="C18" s="79">
        <v>4180.799</v>
      </c>
    </row>
    <row r="19" spans="2:3" ht="43.25" customHeight="1" x14ac:dyDescent="0.2">
      <c r="B19" s="26" t="s">
        <v>16</v>
      </c>
      <c r="C19" s="83">
        <v>4641.5720000000001</v>
      </c>
    </row>
    <row r="20" spans="2:3" ht="43.25" customHeight="1" x14ac:dyDescent="0.2">
      <c r="B20" s="27" t="s">
        <v>17</v>
      </c>
      <c r="C20" s="93">
        <v>6242.1409999999996</v>
      </c>
    </row>
    <row r="21" spans="2:3" ht="43.25" customHeight="1" x14ac:dyDescent="0.2">
      <c r="B21" s="28" t="s">
        <v>18</v>
      </c>
      <c r="C21" s="63">
        <v>2346.3490000000002</v>
      </c>
    </row>
    <row r="22" spans="2:3" ht="43.25" customHeight="1" x14ac:dyDescent="0.2">
      <c r="B22" s="29" t="s">
        <v>19</v>
      </c>
      <c r="C22" s="62">
        <v>2090.75</v>
      </c>
    </row>
    <row r="23" spans="2:3" ht="43.25" customHeight="1" x14ac:dyDescent="0.2">
      <c r="B23" s="30" t="s">
        <v>20</v>
      </c>
      <c r="C23" s="80">
        <v>4402.8969999999999</v>
      </c>
    </row>
    <row r="24" spans="2:3" ht="43.25" customHeight="1" x14ac:dyDescent="0.2">
      <c r="B24" s="31" t="s">
        <v>21</v>
      </c>
      <c r="C24" s="87">
        <v>5112.0029999999997</v>
      </c>
    </row>
    <row r="25" spans="2:3" ht="43.25" customHeight="1" x14ac:dyDescent="0.2">
      <c r="B25" s="32" t="s">
        <v>22</v>
      </c>
      <c r="C25" s="68">
        <v>2656.0230000000001</v>
      </c>
    </row>
    <row r="26" spans="2:3" ht="43.25" customHeight="1" x14ac:dyDescent="0.2">
      <c r="B26" s="33" t="s">
        <v>23</v>
      </c>
      <c r="C26" s="72">
        <v>3292.7280000000001</v>
      </c>
    </row>
    <row r="27" spans="2:3" ht="43.25" customHeight="1" x14ac:dyDescent="0.2">
      <c r="B27" s="34" t="s">
        <v>24</v>
      </c>
      <c r="C27" s="77">
        <v>3623.828</v>
      </c>
    </row>
    <row r="28" spans="2:3" ht="43.25" customHeight="1" x14ac:dyDescent="0.2">
      <c r="B28" s="35" t="s">
        <v>25</v>
      </c>
      <c r="C28" s="71">
        <v>3259.1790000000001</v>
      </c>
    </row>
    <row r="29" spans="2:3" ht="43.25" customHeight="1" x14ac:dyDescent="0.2">
      <c r="B29" s="36" t="s">
        <v>26</v>
      </c>
      <c r="C29" s="64">
        <v>2446.442</v>
      </c>
    </row>
    <row r="30" spans="2:3" ht="43.25" customHeight="1" x14ac:dyDescent="0.2">
      <c r="B30" s="37" t="s">
        <v>27</v>
      </c>
      <c r="C30" s="69">
        <v>2734.5770000000002</v>
      </c>
    </row>
    <row r="31" spans="2:3" ht="43.25" customHeight="1" x14ac:dyDescent="0.2">
      <c r="B31" s="38" t="s">
        <v>28</v>
      </c>
      <c r="C31" s="89">
        <v>5237.2830000000004</v>
      </c>
    </row>
    <row r="32" spans="2:3" ht="43.25" customHeight="1" x14ac:dyDescent="0.2">
      <c r="B32" s="39" t="s">
        <v>29</v>
      </c>
      <c r="C32" s="58">
        <v>1036.546</v>
      </c>
    </row>
    <row r="33" spans="2:4" ht="43.25" customHeight="1" x14ac:dyDescent="0.2">
      <c r="B33" s="40" t="s">
        <v>30</v>
      </c>
      <c r="C33" s="90">
        <v>5532.3429999999998</v>
      </c>
    </row>
    <row r="34" spans="2:4" ht="43.25" customHeight="1" x14ac:dyDescent="0.2">
      <c r="B34" s="41" t="s">
        <v>31</v>
      </c>
      <c r="C34" s="78">
        <v>3737.8159999999998</v>
      </c>
    </row>
    <row r="35" spans="2:4" ht="43.25" customHeight="1" x14ac:dyDescent="0.2">
      <c r="B35" s="42" t="s">
        <v>32</v>
      </c>
      <c r="C35" s="92">
        <v>5679.5789999999997</v>
      </c>
    </row>
    <row r="36" spans="2:4" ht="43.25" customHeight="1" x14ac:dyDescent="0.2">
      <c r="B36" s="43" t="s">
        <v>33</v>
      </c>
      <c r="C36" s="70">
        <v>3163.6909999999998</v>
      </c>
    </row>
    <row r="37" spans="2:4" ht="43.25" customHeight="1" x14ac:dyDescent="0.2">
      <c r="B37" s="44" t="s">
        <v>34</v>
      </c>
      <c r="C37" s="75">
        <v>3476.355</v>
      </c>
    </row>
    <row r="38" spans="2:4" ht="43.25" customHeight="1" x14ac:dyDescent="0.2">
      <c r="B38" s="45" t="s">
        <v>35</v>
      </c>
      <c r="C38" s="66">
        <v>2506.1709999999998</v>
      </c>
    </row>
    <row r="39" spans="2:4" ht="43.25" customHeight="1" x14ac:dyDescent="0.2">
      <c r="B39" s="46" t="s">
        <v>36</v>
      </c>
      <c r="C39" s="76">
        <v>3510.9009999999998</v>
      </c>
    </row>
    <row r="40" spans="2:4" ht="43.25" customHeight="1" x14ac:dyDescent="0.2">
      <c r="B40" s="47" t="s">
        <v>37</v>
      </c>
      <c r="C40" s="73">
        <v>3338.8980000000001</v>
      </c>
    </row>
    <row r="41" spans="2:4" ht="43.25" customHeight="1" x14ac:dyDescent="0.2">
      <c r="B41" s="48" t="s">
        <v>38</v>
      </c>
      <c r="C41" s="85">
        <v>4824.9629999999997</v>
      </c>
    </row>
    <row r="42" spans="2:4" ht="43.25" customHeight="1" x14ac:dyDescent="0.2">
      <c r="B42" s="49" t="s">
        <v>39</v>
      </c>
      <c r="C42" s="94">
        <v>6562.1170000000002</v>
      </c>
    </row>
    <row r="43" spans="2:4" ht="43.25" customHeight="1" x14ac:dyDescent="0.2">
      <c r="B43" s="50" t="s">
        <v>40</v>
      </c>
      <c r="C43" s="61">
        <v>1477.8920000000001</v>
      </c>
    </row>
    <row r="44" spans="2:4" ht="43.25" customHeight="1" x14ac:dyDescent="0.2">
      <c r="B44" s="51" t="s">
        <v>41</v>
      </c>
      <c r="C44" s="81">
        <v>4521.6909999999998</v>
      </c>
    </row>
    <row r="45" spans="2:4" ht="43.25" customHeight="1" x14ac:dyDescent="0.2">
      <c r="B45" s="54" t="s">
        <v>42</v>
      </c>
      <c r="C45" s="95">
        <v>9776.4570000000003</v>
      </c>
    </row>
    <row r="47" spans="2:4" x14ac:dyDescent="0.2">
      <c r="B47" s="6" t="s">
        <v>43</v>
      </c>
      <c r="D47" s="7" t="s">
        <v>0</v>
      </c>
    </row>
  </sheetData>
  <hyperlinks>
    <hyperlink ref="B47" r:id="rId1" xr:uid="{00000000-0004-0000-0000-000000000000}"/>
    <hyperlink ref="D47" r:id="rId2" xr:uid="{00000000-0004-0000-0000-000001000000}"/>
  </hyperlinks>
  <pageMargins left="0.7" right="0.7" top="0.75" bottom="0.75" header="0.3" footer="0.3"/>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441C4-8F69-E94B-98B9-A0BDDC31C5EB}">
  <dimension ref="B2:K27"/>
  <sheetViews>
    <sheetView tabSelected="1" topLeftCell="B1" workbookViewId="0">
      <selection activeCell="F30" sqref="F30"/>
    </sheetView>
  </sheetViews>
  <sheetFormatPr baseColWidth="10" defaultRowHeight="15" x14ac:dyDescent="0.2"/>
  <cols>
    <col min="2" max="2" width="10.83203125" customWidth="1"/>
    <col min="3" max="3" width="18" customWidth="1"/>
    <col min="4" max="4" width="11.6640625" bestFit="1" customWidth="1"/>
    <col min="6" max="6" width="43.6640625" customWidth="1"/>
  </cols>
  <sheetData>
    <row r="2" spans="3:6" x14ac:dyDescent="0.2">
      <c r="F2" s="96" t="s">
        <v>71</v>
      </c>
    </row>
    <row r="4" spans="3:6" x14ac:dyDescent="0.2">
      <c r="C4" s="55" t="s">
        <v>61</v>
      </c>
      <c r="D4" s="55">
        <f>COUNTA(Tableau3[Dépenses de santé par habitants])</f>
        <v>38</v>
      </c>
      <c r="F4" t="s">
        <v>72</v>
      </c>
    </row>
    <row r="5" spans="3:6" x14ac:dyDescent="0.2">
      <c r="C5" s="55" t="s">
        <v>55</v>
      </c>
      <c r="D5" s="56">
        <f>AVERAGE(Tableau3[Dépenses de santé par habitants])</f>
        <v>3885.048210526315</v>
      </c>
    </row>
    <row r="6" spans="3:6" x14ac:dyDescent="0.2">
      <c r="C6" s="55" t="s">
        <v>56</v>
      </c>
      <c r="D6" s="56">
        <f>MEDIAN((Tableau3[]))</f>
        <v>3567.3644999999997</v>
      </c>
    </row>
    <row r="7" spans="3:6" x14ac:dyDescent="0.2">
      <c r="C7" s="55" t="s">
        <v>60</v>
      </c>
      <c r="D7" s="56">
        <v>0</v>
      </c>
      <c r="F7" t="s">
        <v>80</v>
      </c>
    </row>
    <row r="8" spans="3:6" x14ac:dyDescent="0.2">
      <c r="C8" s="55" t="s">
        <v>58</v>
      </c>
      <c r="D8" s="56">
        <f>+_xlfn.STDEV.S(Tableau3[])</f>
        <v>1733.726507952696</v>
      </c>
      <c r="F8" t="s">
        <v>73</v>
      </c>
    </row>
    <row r="9" spans="3:6" x14ac:dyDescent="0.2">
      <c r="C9" s="55" t="s">
        <v>57</v>
      </c>
      <c r="D9" s="56">
        <f>+_xlfn.VAR.S(Tableau3[])</f>
        <v>3005807.6043778495</v>
      </c>
    </row>
    <row r="10" spans="3:6" x14ac:dyDescent="0.2">
      <c r="C10" s="55" t="s">
        <v>62</v>
      </c>
      <c r="D10" s="56">
        <f>MIN(Tableau3[])</f>
        <v>1036.546</v>
      </c>
    </row>
    <row r="11" spans="3:6" x14ac:dyDescent="0.2">
      <c r="C11" s="55" t="s">
        <v>63</v>
      </c>
      <c r="D11" s="56">
        <f>MAX(Tableau3[])</f>
        <v>9776.4570000000003</v>
      </c>
    </row>
    <row r="12" spans="3:6" x14ac:dyDescent="0.2">
      <c r="C12" s="55" t="s">
        <v>59</v>
      </c>
      <c r="D12" s="56">
        <f>MAX(Tableau3[])-MIN(Tableau3[])</f>
        <v>8739.9110000000001</v>
      </c>
    </row>
    <row r="13" spans="3:6" x14ac:dyDescent="0.2">
      <c r="C13" s="55" t="s">
        <v>64</v>
      </c>
      <c r="D13" s="56">
        <f>STDEV(Tableau3[])/AVERAGE(Tableau3[])</f>
        <v>0.44625611163724138</v>
      </c>
    </row>
    <row r="14" spans="3:6" x14ac:dyDescent="0.2">
      <c r="C14" s="55" t="s">
        <v>65</v>
      </c>
      <c r="D14" s="56">
        <f>_xlfn.QUARTILE.INC(Tableau3[],1)</f>
        <v>2559.2107500000002</v>
      </c>
    </row>
    <row r="15" spans="3:6" x14ac:dyDescent="0.2">
      <c r="C15" s="55" t="s">
        <v>66</v>
      </c>
      <c r="D15" s="56">
        <f>_xlfn.QUARTILE.INC(Tableau3[],2)</f>
        <v>3567.3644999999997</v>
      </c>
    </row>
    <row r="16" spans="3:6" x14ac:dyDescent="0.2">
      <c r="C16" s="55" t="s">
        <v>67</v>
      </c>
      <c r="D16" s="56">
        <f>_xlfn.QUARTILE.INC(Tableau3[],3)</f>
        <v>4987.6124999999993</v>
      </c>
    </row>
    <row r="17" spans="2:11" x14ac:dyDescent="0.2">
      <c r="C17" s="55" t="s">
        <v>68</v>
      </c>
      <c r="D17" s="56">
        <f>SKEW(Tableau3[])</f>
        <v>0.91467176100323688</v>
      </c>
      <c r="F17" t="s">
        <v>77</v>
      </c>
    </row>
    <row r="18" spans="2:11" x14ac:dyDescent="0.2">
      <c r="C18" s="55" t="s">
        <v>69</v>
      </c>
      <c r="D18" s="56">
        <f>KURT(Tableau3[])</f>
        <v>2.1807521505825154</v>
      </c>
      <c r="F18" t="s">
        <v>82</v>
      </c>
    </row>
    <row r="19" spans="2:11" ht="48" x14ac:dyDescent="0.2">
      <c r="C19" s="55" t="s">
        <v>70</v>
      </c>
      <c r="D19" s="56">
        <f>D16-D14</f>
        <v>2428.4017499999991</v>
      </c>
      <c r="F19" s="57" t="s">
        <v>74</v>
      </c>
    </row>
    <row r="20" spans="2:11" x14ac:dyDescent="0.2">
      <c r="C20" s="55" t="s">
        <v>75</v>
      </c>
      <c r="D20" s="56">
        <f>D14-1.5*D19</f>
        <v>-1083.3918749999984</v>
      </c>
      <c r="F20" s="55"/>
    </row>
    <row r="21" spans="2:11" ht="32" x14ac:dyDescent="0.2">
      <c r="C21" s="55" t="s">
        <v>76</v>
      </c>
      <c r="D21" s="55">
        <f>D16+1.5*D19</f>
        <v>8630.2151249999988</v>
      </c>
      <c r="F21" s="57" t="s">
        <v>78</v>
      </c>
    </row>
    <row r="24" spans="2:11" ht="29" x14ac:dyDescent="0.35">
      <c r="B24" s="97"/>
      <c r="C24" s="100" t="s">
        <v>79</v>
      </c>
      <c r="D24" s="98" t="s">
        <v>81</v>
      </c>
      <c r="E24" s="99"/>
      <c r="F24" s="99"/>
      <c r="G24" s="99"/>
      <c r="H24" s="99"/>
      <c r="I24" s="99"/>
      <c r="J24" s="99"/>
      <c r="K24" s="99"/>
    </row>
    <row r="25" spans="2:11" x14ac:dyDescent="0.2">
      <c r="C25" s="100"/>
      <c r="D25" s="99"/>
      <c r="E25" s="99"/>
      <c r="F25" s="99"/>
      <c r="G25" s="99"/>
      <c r="H25" s="99"/>
      <c r="I25" s="99"/>
      <c r="J25" s="99"/>
      <c r="K25" s="99"/>
    </row>
    <row r="26" spans="2:11" x14ac:dyDescent="0.2">
      <c r="C26" s="100"/>
      <c r="D26" s="99"/>
      <c r="E26" s="99"/>
      <c r="F26" s="99"/>
      <c r="G26" s="99"/>
      <c r="H26" s="99"/>
      <c r="I26" s="99"/>
      <c r="J26" s="99"/>
      <c r="K26" s="99"/>
    </row>
    <row r="27" spans="2:11" x14ac:dyDescent="0.2">
      <c r="C27" s="100"/>
      <c r="D27" s="99"/>
      <c r="E27" s="99"/>
      <c r="F27" s="99"/>
      <c r="G27" s="99"/>
      <c r="H27" s="99"/>
      <c r="I27" s="99"/>
      <c r="J27" s="99"/>
      <c r="K27" s="99"/>
    </row>
  </sheetData>
  <mergeCells count="2">
    <mergeCell ref="D24:K27"/>
    <mergeCell ref="C24:C27"/>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F4C52-C72D-A945-8696-6CF66ABEEFFF}">
  <dimension ref="A1"/>
  <sheetViews>
    <sheetView zoomScale="62" zoomScaleNormal="90" workbookViewId="0">
      <selection activeCell="V23" sqref="V23"/>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15"/>
  <sheetViews>
    <sheetView workbookViewId="0"/>
  </sheetViews>
  <sheetFormatPr baseColWidth="10" defaultRowHeight="15" x14ac:dyDescent="0.2"/>
  <cols>
    <col min="2" max="2" width="115" style="8" customWidth="1"/>
  </cols>
  <sheetData>
    <row r="1" spans="2:2" ht="16" x14ac:dyDescent="0.2">
      <c r="B1" s="9" t="s">
        <v>0</v>
      </c>
    </row>
    <row r="2" spans="2:2" ht="55.5" customHeight="1" x14ac:dyDescent="0.2">
      <c r="B2" s="8" t="s">
        <v>44</v>
      </c>
    </row>
    <row r="5" spans="2:2" ht="39.75" customHeight="1" x14ac:dyDescent="0.2">
      <c r="B5" s="8" t="s">
        <v>45</v>
      </c>
    </row>
    <row r="7" spans="2:2" ht="16" x14ac:dyDescent="0.2">
      <c r="B7" s="8" t="s">
        <v>46</v>
      </c>
    </row>
    <row r="8" spans="2:2" ht="16" x14ac:dyDescent="0.2">
      <c r="B8" s="8" t="s">
        <v>47</v>
      </c>
    </row>
    <row r="11" spans="2:2" ht="16" x14ac:dyDescent="0.2">
      <c r="B11" s="10" t="s">
        <v>48</v>
      </c>
    </row>
    <row r="12" spans="2:2" ht="16" x14ac:dyDescent="0.2">
      <c r="B12" s="11" t="s">
        <v>49</v>
      </c>
    </row>
    <row r="13" spans="2:2" ht="16" x14ac:dyDescent="0.2">
      <c r="B13" s="12" t="s">
        <v>50</v>
      </c>
    </row>
    <row r="14" spans="2:2" ht="16" x14ac:dyDescent="0.2">
      <c r="B14" s="13" t="s">
        <v>51</v>
      </c>
    </row>
    <row r="15" spans="2:2" ht="16" x14ac:dyDescent="0.2">
      <c r="B15" s="14" t="s">
        <v>52</v>
      </c>
    </row>
  </sheetData>
  <hyperlinks>
    <hyperlink ref="B12" r:id="rId1" xr:uid="{00000000-0004-0000-0100-000000000000}"/>
    <hyperlink ref="B13" r:id="rId2" xr:uid="{00000000-0004-0000-0100-000001000000}"/>
    <hyperlink ref="B14" r:id="rId3" xr:uid="{00000000-0004-0000-0100-000002000000}"/>
    <hyperlink ref="B15" r:id="rId4" xr:uid="{00000000-0004-0000-01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onnées</vt:lpstr>
      <vt:lpstr>Statistiques descriptives </vt:lpstr>
      <vt:lpstr>Graphiques</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Nkashama Christivie</cp:lastModifiedBy>
  <dcterms:created xsi:type="dcterms:W3CDTF">2026-07-23T23:36:26Z</dcterms:created>
  <dcterms:modified xsi:type="dcterms:W3CDTF">2026-07-24T13:52:38Z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nregistré par">
    <vt:lpwstr>Esileeiram</vt:lpwstr>
  </property>
</Properties>
</file>