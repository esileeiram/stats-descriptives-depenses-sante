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03"/>
  <workbookPr/>
  <mc:AlternateContent xmlns:mc="http://schemas.openxmlformats.org/markup-compatibility/2006">
    <mc:Choice Requires="x15">
      <x15ac:absPath xmlns:x15ac="http://schemas.microsoft.com/office/spreadsheetml/2010/11/ac" url="/Users/ctv/Documents/LeCoinStat/Travaux/Publié/Projet 3 - Stat Univariée/"/>
    </mc:Choice>
  </mc:AlternateContent>
  <xr:revisionPtr revIDLastSave="0" documentId="13_ncr:1_{3088DFD7-E360-3843-80F2-ED2E85C579FE}" xr6:coauthVersionLast="47" xr6:coauthVersionMax="47" xr10:uidLastSave="{00000000-0000-0000-0000-000000000000}"/>
  <workbookProtection workbookAlgorithmName="SHA-512" workbookHashValue="zjketHzTxFkp+PuiJ3HYWukOk261eLnB4V8pfxTk56k6PnPlzaVCl8zH9sFtDu/co0ypZkzNfDpgRhZ+dq7G5A==" workbookSaltValue="7fBgVMjonujH21k0ZdXFYg==" workbookSpinCount="100000" lockStructure="1"/>
  <bookViews>
    <workbookView xWindow="0" yWindow="680" windowWidth="34560" windowHeight="20100" activeTab="2" xr2:uid="{00000000-000D-0000-FFFF-FFFF00000000}"/>
  </bookViews>
  <sheets>
    <sheet name="onnées" sheetId="1" r:id="rId1"/>
    <sheet name="Statistiques descriptives " sheetId="3" r:id="rId2"/>
    <sheet name="Graphiques" sheetId="4" r:id="rId3"/>
    <sheet name="Overview" sheetId="2" r:id="rId4"/>
  </sheets>
  <definedNames>
    <definedName name="_xlchart.v1.0" hidden="1">onnées!$C$8:$C$45</definedName>
    <definedName name="_xlchart.v1.1" hidden="1">onnées!$B$8:$B$45</definedName>
    <definedName name="_xlchart.v1.2" hidden="1">onnées!$C$7</definedName>
    <definedName name="_xlchart.v1.3" hidden="1">onnées!$C$8:$C$45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3" l="1"/>
  <c r="C10" i="3"/>
  <c r="C5" i="3"/>
  <c r="C4" i="3"/>
  <c r="C6" i="3"/>
  <c r="C8" i="3"/>
  <c r="C11" i="3"/>
  <c r="C12" i="3"/>
  <c r="C13" i="3"/>
  <c r="C14" i="3"/>
  <c r="C15" i="3"/>
  <c r="C16" i="3"/>
  <c r="C17" i="3"/>
  <c r="C18" i="3"/>
  <c r="C19" i="3" l="1"/>
  <c r="C20" i="3"/>
  <c r="C2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C8" authorId="0" shapeId="0" xr:uid="{00000000-0006-0000-0000-000001000000}">
      <text>
        <r>
          <rPr>
            <sz val="11"/>
            <color rgb="FF000000"/>
            <rFont val="Calibri"/>
            <family val="2"/>
          </rPr>
          <t>Observation status: Estimated value</t>
        </r>
      </text>
    </comment>
    <comment ref="C9" authorId="0" shapeId="0" xr:uid="{00000000-0006-0000-0000-000002000000}">
      <text>
        <r>
          <rPr>
            <sz val="11"/>
            <color rgb="FF000000"/>
            <rFont val="Calibri"/>
            <family val="2"/>
          </rPr>
          <t>Observation status: Provisional value</t>
        </r>
      </text>
    </comment>
    <comment ref="C10" authorId="0" shapeId="0" xr:uid="{00000000-0006-0000-0000-000003000000}">
      <text>
        <r>
          <rPr>
            <sz val="11"/>
            <color rgb="FF000000"/>
            <rFont val="Calibri"/>
            <family val="2"/>
          </rPr>
          <t>Observation status: Estimated value</t>
        </r>
      </text>
    </comment>
    <comment ref="C11" authorId="0" shapeId="0" xr:uid="{00000000-0006-0000-0000-000004000000}">
      <text>
        <r>
          <rPr>
            <sz val="11"/>
            <color rgb="FF000000"/>
            <rFont val="Calibri"/>
            <family val="2"/>
          </rPr>
          <t>Observation status: Provisional value</t>
        </r>
      </text>
    </comment>
    <comment ref="C12" authorId="0" shapeId="0" xr:uid="{00000000-0006-0000-0000-000005000000}">
      <text>
        <r>
          <rPr>
            <sz val="11"/>
            <color rgb="FF000000"/>
            <rFont val="Calibri"/>
            <family val="2"/>
          </rPr>
          <t>Observation status: Provisional value</t>
        </r>
      </text>
    </comment>
    <comment ref="C13" authorId="0" shapeId="0" xr:uid="{00000000-0006-0000-0000-000006000000}">
      <text>
        <r>
          <rPr>
            <sz val="11"/>
            <color rgb="FF000000"/>
            <rFont val="Calibri"/>
            <family val="2"/>
          </rPr>
          <t>Observation status: Provisional value</t>
        </r>
      </text>
    </comment>
    <comment ref="C14" authorId="0" shapeId="0" xr:uid="{00000000-0006-0000-0000-000007000000}">
      <text>
        <r>
          <rPr>
            <sz val="11"/>
            <color theme="1"/>
            <rFont val="Calibri"/>
            <family val="2"/>
            <scheme val="minor"/>
          </rPr>
          <t>Observation status: Estimated value</t>
        </r>
      </text>
    </comment>
    <comment ref="C15" authorId="0" shapeId="0" xr:uid="{00000000-0006-0000-0000-000008000000}">
      <text>
        <r>
          <rPr>
            <sz val="11"/>
            <color theme="1"/>
            <rFont val="Calibri"/>
            <family val="2"/>
            <scheme val="minor"/>
          </rPr>
          <t>Observation status: Provisional value</t>
        </r>
      </text>
    </comment>
    <comment ref="C16" authorId="0" shapeId="0" xr:uid="{00000000-0006-0000-0000-000009000000}">
      <text>
        <r>
          <rPr>
            <sz val="11"/>
            <color theme="1"/>
            <rFont val="Calibri"/>
            <family val="2"/>
            <scheme val="minor"/>
          </rPr>
          <t>Observation status: Provisional value</t>
        </r>
      </text>
    </comment>
    <comment ref="C17" authorId="0" shapeId="0" xr:uid="{00000000-0006-0000-0000-00000A000000}">
      <text>
        <r>
          <rPr>
            <sz val="11"/>
            <color theme="1"/>
            <rFont val="Calibri"/>
            <family val="2"/>
            <scheme val="minor"/>
          </rPr>
          <t>Observation status: Provisional value</t>
        </r>
      </text>
    </comment>
    <comment ref="C18" authorId="0" shapeId="0" xr:uid="{00000000-0006-0000-0000-00000B000000}">
      <text>
        <r>
          <rPr>
            <sz val="11"/>
            <color theme="1"/>
            <rFont val="Calibri"/>
            <family val="2"/>
            <scheme val="minor"/>
          </rPr>
          <t>Observation status: Estimated value</t>
        </r>
      </text>
    </comment>
    <comment ref="C19" authorId="0" shapeId="0" xr:uid="{00000000-0006-0000-0000-00000C000000}">
      <text>
        <r>
          <rPr>
            <sz val="11"/>
            <color theme="1"/>
            <rFont val="Calibri"/>
            <family val="2"/>
            <scheme val="minor"/>
          </rPr>
          <t>Observation status: Estimated value</t>
        </r>
      </text>
    </comment>
    <comment ref="C20" authorId="0" shapeId="0" xr:uid="{00000000-0006-0000-0000-00000D000000}">
      <text>
        <r>
          <rPr>
            <sz val="11"/>
            <color theme="1"/>
            <rFont val="Calibri"/>
            <family val="2"/>
            <scheme val="minor"/>
          </rPr>
          <t>Observation status: Provisional value</t>
        </r>
      </text>
    </comment>
    <comment ref="C21" authorId="0" shapeId="0" xr:uid="{00000000-0006-0000-0000-00000E000000}">
      <text>
        <r>
          <rPr>
            <sz val="11"/>
            <color theme="1"/>
            <rFont val="Calibri"/>
            <family val="2"/>
            <scheme val="minor"/>
          </rPr>
          <t>Observation status: Estimated value</t>
        </r>
      </text>
    </comment>
    <comment ref="C22" authorId="0" shapeId="0" xr:uid="{00000000-0006-0000-0000-00000F000000}">
      <text>
        <r>
          <rPr>
            <sz val="11"/>
            <color rgb="FF000000"/>
            <rFont val="Calibri"/>
            <family val="2"/>
          </rPr>
          <t>Observation status: Provisional value</t>
        </r>
      </text>
    </comment>
    <comment ref="C23" authorId="0" shapeId="0" xr:uid="{00000000-0006-0000-0000-000010000000}">
      <text>
        <r>
          <rPr>
            <sz val="11"/>
            <color theme="1"/>
            <rFont val="Calibri"/>
            <family val="2"/>
            <scheme val="minor"/>
          </rPr>
          <t>Observation status: Provisional value</t>
        </r>
      </text>
    </comment>
    <comment ref="C24" authorId="0" shapeId="0" xr:uid="{00000000-0006-0000-0000-000011000000}">
      <text>
        <r>
          <rPr>
            <sz val="11"/>
            <color rgb="FF000000"/>
            <rFont val="Calibri"/>
            <family val="2"/>
          </rPr>
          <t>Observation status: Provisional value</t>
        </r>
      </text>
    </comment>
    <comment ref="C25" authorId="0" shapeId="0" xr:uid="{00000000-0006-0000-0000-000012000000}">
      <text>
        <r>
          <rPr>
            <sz val="11"/>
            <color theme="1"/>
            <rFont val="Calibri"/>
            <family val="2"/>
            <scheme val="minor"/>
          </rPr>
          <t>Observation status: Definition differs
Observation status 2: Estimated value</t>
        </r>
      </text>
    </comment>
    <comment ref="C26" authorId="0" shapeId="0" xr:uid="{00000000-0006-0000-0000-000013000000}">
      <text>
        <r>
          <rPr>
            <sz val="11"/>
            <color theme="1"/>
            <rFont val="Calibri"/>
            <family val="2"/>
            <scheme val="minor"/>
          </rPr>
          <t>Observation status: Provisional value</t>
        </r>
      </text>
    </comment>
    <comment ref="C27" authorId="0" shapeId="0" xr:uid="{00000000-0006-0000-0000-000014000000}">
      <text>
        <r>
          <rPr>
            <sz val="11"/>
            <color theme="1"/>
            <rFont val="Calibri"/>
            <family val="2"/>
            <scheme val="minor"/>
          </rPr>
          <t>Observation status: Estimated value</t>
        </r>
      </text>
    </comment>
    <comment ref="C28" authorId="0" shapeId="0" xr:uid="{00000000-0006-0000-0000-000015000000}">
      <text>
        <r>
          <rPr>
            <sz val="11"/>
            <color theme="1"/>
            <rFont val="Calibri"/>
            <family val="2"/>
            <scheme val="minor"/>
          </rPr>
          <t>Observation status: Provisional value</t>
        </r>
      </text>
    </comment>
    <comment ref="C29" authorId="0" shapeId="0" xr:uid="{00000000-0006-0000-0000-000016000000}">
      <text>
        <r>
          <rPr>
            <sz val="11"/>
            <color theme="1"/>
            <rFont val="Calibri"/>
            <family val="2"/>
            <scheme val="minor"/>
          </rPr>
          <t>Observation status: Estimated value</t>
        </r>
      </text>
    </comment>
    <comment ref="C30" authorId="0" shapeId="0" xr:uid="{00000000-0006-0000-0000-000017000000}">
      <text>
        <r>
          <rPr>
            <sz val="11"/>
            <color theme="1"/>
            <rFont val="Calibri"/>
            <family val="2"/>
            <scheme val="minor"/>
          </rPr>
          <t>Observation status: Provisional value</t>
        </r>
      </text>
    </comment>
    <comment ref="C31" authorId="0" shapeId="0" xr:uid="{00000000-0006-0000-0000-000018000000}">
      <text>
        <r>
          <rPr>
            <sz val="11"/>
            <color theme="1"/>
            <rFont val="Calibri"/>
            <family val="2"/>
            <scheme val="minor"/>
          </rPr>
          <t>Observation status: Provisional value</t>
        </r>
      </text>
    </comment>
    <comment ref="C32" authorId="0" shapeId="0" xr:uid="{00000000-0006-0000-0000-000019000000}">
      <text>
        <r>
          <rPr>
            <sz val="11"/>
            <color rgb="FF000000"/>
            <rFont val="Calibri"/>
            <family val="2"/>
          </rPr>
          <t>Observation status: Estimated value</t>
        </r>
      </text>
    </comment>
    <comment ref="C33" authorId="0" shapeId="0" xr:uid="{00000000-0006-0000-0000-00001A000000}">
      <text>
        <r>
          <rPr>
            <sz val="11"/>
            <color theme="1"/>
            <rFont val="Calibri"/>
            <family val="2"/>
            <scheme val="minor"/>
          </rPr>
          <t>Observation status: Provisional value</t>
        </r>
      </text>
    </comment>
    <comment ref="C34" authorId="0" shapeId="0" xr:uid="{00000000-0006-0000-0000-00001B000000}">
      <text>
        <r>
          <rPr>
            <sz val="11"/>
            <color theme="1"/>
            <rFont val="Calibri"/>
            <family val="2"/>
            <scheme val="minor"/>
          </rPr>
          <t>Observation status: Estimated value</t>
        </r>
      </text>
    </comment>
    <comment ref="C35" authorId="0" shapeId="0" xr:uid="{00000000-0006-0000-0000-00001C000000}">
      <text>
        <r>
          <rPr>
            <sz val="11"/>
            <color theme="1"/>
            <rFont val="Calibri"/>
            <family val="2"/>
            <scheme val="minor"/>
          </rPr>
          <t>Observation status: Estimated value</t>
        </r>
      </text>
    </comment>
    <comment ref="C36" authorId="0" shapeId="0" xr:uid="{00000000-0006-0000-0000-00001D000000}">
      <text>
        <r>
          <rPr>
            <sz val="11"/>
            <color theme="1"/>
            <rFont val="Calibri"/>
            <family val="2"/>
            <scheme val="minor"/>
          </rPr>
          <t>Observation status: Provisional value</t>
        </r>
      </text>
    </comment>
    <comment ref="C37" authorId="0" shapeId="0" xr:uid="{00000000-0006-0000-0000-00001E000000}">
      <text>
        <r>
          <rPr>
            <sz val="11"/>
            <color theme="1"/>
            <rFont val="Calibri"/>
            <family val="2"/>
            <scheme val="minor"/>
          </rPr>
          <t>Observation status: Provisional value</t>
        </r>
      </text>
    </comment>
    <comment ref="C38" authorId="0" shapeId="0" xr:uid="{00000000-0006-0000-0000-00001F000000}">
      <text>
        <r>
          <rPr>
            <sz val="11"/>
            <color theme="1"/>
            <rFont val="Calibri"/>
            <family val="2"/>
            <scheme val="minor"/>
          </rPr>
          <t>Observation status: Estimated value</t>
        </r>
      </text>
    </comment>
    <comment ref="C39" authorId="0" shapeId="0" xr:uid="{00000000-0006-0000-0000-000020000000}">
      <text>
        <r>
          <rPr>
            <sz val="11"/>
            <color theme="1"/>
            <rFont val="Calibri"/>
            <family val="2"/>
            <scheme val="minor"/>
          </rPr>
          <t>Observation status: Estimated value</t>
        </r>
      </text>
    </comment>
    <comment ref="C40" authorId="0" shapeId="0" xr:uid="{00000000-0006-0000-0000-000021000000}">
      <text>
        <r>
          <rPr>
            <sz val="11"/>
            <color theme="1"/>
            <rFont val="Calibri"/>
            <family val="2"/>
            <scheme val="minor"/>
          </rPr>
          <t>Observation status: Estimated value</t>
        </r>
      </text>
    </comment>
    <comment ref="C41" authorId="0" shapeId="0" xr:uid="{00000000-0006-0000-0000-000022000000}">
      <text>
        <r>
          <rPr>
            <sz val="11"/>
            <color theme="1"/>
            <rFont val="Calibri"/>
            <family val="2"/>
            <scheme val="minor"/>
          </rPr>
          <t>Observation status: Provisional value</t>
        </r>
      </text>
    </comment>
    <comment ref="C42" authorId="0" shapeId="0" xr:uid="{00000000-0006-0000-0000-000023000000}">
      <text>
        <r>
          <rPr>
            <sz val="11"/>
            <color theme="1"/>
            <rFont val="Calibri"/>
            <family val="2"/>
            <scheme val="minor"/>
          </rPr>
          <t>Observation status: Provisional value</t>
        </r>
      </text>
    </comment>
    <comment ref="C43" authorId="0" shapeId="0" xr:uid="{00000000-0006-0000-0000-000024000000}">
      <text>
        <r>
          <rPr>
            <sz val="11"/>
            <color theme="1"/>
            <rFont val="Calibri"/>
            <family val="2"/>
            <scheme val="minor"/>
          </rPr>
          <t>Observation status: Estimated value</t>
        </r>
      </text>
    </comment>
    <comment ref="C44" authorId="0" shapeId="0" xr:uid="{00000000-0006-0000-0000-000025000000}">
      <text>
        <r>
          <rPr>
            <sz val="11"/>
            <color rgb="FF000000"/>
            <rFont val="Calibri"/>
            <family val="2"/>
          </rPr>
          <t>Observation status: Provisional value</t>
        </r>
      </text>
    </comment>
    <comment ref="C45" authorId="0" shapeId="0" xr:uid="{00000000-0006-0000-0000-000026000000}">
      <text>
        <r>
          <rPr>
            <sz val="11"/>
            <color rgb="FF000000"/>
            <rFont val="Calibri"/>
            <family val="2"/>
          </rPr>
          <t>Observation status: Estimated value</t>
        </r>
      </text>
    </comment>
  </commentList>
</comments>
</file>

<file path=xl/sharedStrings.xml><?xml version="1.0" encoding="utf-8"?>
<sst xmlns="http://schemas.openxmlformats.org/spreadsheetml/2006/main" count="82" uniqueCount="81">
  <si>
    <t>Health expenditure and financing</t>
  </si>
  <si>
    <t>Frequency of observation: Annual</t>
  </si>
  <si>
    <t>Measure: Expenditure</t>
  </si>
  <si>
    <t>Time period: 2025</t>
  </si>
  <si>
    <t>Combined unit of measure: Euros per person, PPP converted, Current prices</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</si>
  <si>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</si>
  <si>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</si>
  <si>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</si>
  <si>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</si>
  <si>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</si>
  <si>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</si>
  <si>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</si>
  <si>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</si>
  <si>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</si>
  <si>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</si>
  <si>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</si>
  <si>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</si>
  <si>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</si>
  <si>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</si>
  <si>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</si>
  <si>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</si>
  <si>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</si>
  <si>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</si>
  <si>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</si>
  <si>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</si>
  <si>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</si>
  <si>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</si>
  <si>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</si>
  <si>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</si>
  <si>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</si>
  <si>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</si>
  <si>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</si>
  <si>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</si>
  <si>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</si>
  <si>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</si>
  <si>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</si>
  <si>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</si>
  <si>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</si>
  <si>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</si>
  <si>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</si>
  <si>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</si>
  <si>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</si>
  <si>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</si>
  <si>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&lt;a  target="_blank" href="https://www.oecd.org/content/dam/oecd/en/publications/reports/2017/03/a-system-of-health-accounts-2011_g1g75c9d/9789264270985-en.pdf"&gt;A System of Health Accounts&lt;/a&gt; provides an updated and systematic description of the financial flows related to the consumption of healthcare goods and services. As demands for information increase and more countries implement and institutionalise health accounts according to the system, the data produced are expected to be more comparable, more detailed and more policy relevant. It builds on the original OECD Manual, published in 2000 to create a single global framework for producing health expenditure accounts that can help track resource flows from sources to uses. It is the result of a collaborative effort between the OECD, WHO and the European Commission, and sets out in more detail the boundaries, the definitions and the concepts – responding to healthcare systems around the globe – from the simplest to the more complicated. The accounting framework is organised around a tri-axial system for the recording of healthcare expenditure, namely classifications of the functions of healthcare (ICHA-HC), healthcare provision (ICHA-HP), and financing schemes (ICHA-HF).</t>
  </si>
  <si>
    <t>Topic: Health &gt; Health expenditure and financing</t>
  </si>
  <si>
    <t xml:space="preserve">Number of unfiltered data points: 13296298 </t>
  </si>
  <si>
    <t xml:space="preserve">Last updated: July 17, 2026 at 4:25:07 PM </t>
  </si>
  <si>
    <t>You might also be interested in these data:</t>
  </si>
  <si>
    <t>COVID-19 expenditure</t>
  </si>
  <si>
    <t>Gross fixed capital formation in the healthcare system</t>
  </si>
  <si>
    <t>Input costs for healthcare providers</t>
  </si>
  <si>
    <t>Revenues of healthcare financing schemes</t>
  </si>
  <si>
    <t>Pays</t>
  </si>
  <si>
    <t>Dépenses de santé par habitants</t>
  </si>
  <si>
    <t>Moyenne</t>
  </si>
  <si>
    <t>Médiane</t>
  </si>
  <si>
    <t>Variance</t>
  </si>
  <si>
    <t>Ecart-Type</t>
  </si>
  <si>
    <t>Etendue</t>
  </si>
  <si>
    <t>Mode</t>
  </si>
  <si>
    <t>N</t>
  </si>
  <si>
    <t>Min</t>
  </si>
  <si>
    <t>Max</t>
  </si>
  <si>
    <t>Cv°</t>
  </si>
  <si>
    <t>Q1</t>
  </si>
  <si>
    <t>Q2</t>
  </si>
  <si>
    <t>Q3</t>
  </si>
  <si>
    <t>Asymetrie</t>
  </si>
  <si>
    <t>Applatissement</t>
  </si>
  <si>
    <t>IQR</t>
  </si>
  <si>
    <t>Moyenne &gt; Mediane = asymétrie à droite</t>
  </si>
  <si>
    <t>forte dispersion</t>
  </si>
  <si>
    <t>confirme la dispersion au centre de la distribtuioon et suggere presence d'outliers qui font gonfler la variance et ecart-type</t>
  </si>
  <si>
    <t>Borne basse (outlier)</t>
  </si>
  <si>
    <t>Borne haute (outlier)</t>
  </si>
  <si>
    <t>confirme l'asymetrie à droite. Celle-ci est modérée.</t>
  </si>
  <si>
    <t xml:space="preserve">USA, seul pays dans la borne haute. Il tire la moyenne vers le haut. </t>
  </si>
  <si>
    <t>Interprétation</t>
  </si>
  <si>
    <t>mode pas pertinent pour variable continue</t>
  </si>
  <si>
    <t>distribution pointue,Leptokurtique</t>
  </si>
  <si>
    <t xml:space="preserve">La distribution des dépenses de santé par habitant dans les pays de l'OCDE est asymétrique à droite (skewness = 0,91). La moyenne (3 885 €) est supérieure à la médiane (3 567€), signe que quelques valeurs élevées tirent la moyenne vers le haut. L'histogramme confirme cette lecture : 36 des 38 pays se concentrent entre 1 000 et 6 400 € , tandis que les États-Unis (9 776,5 €) se situe très au-ddessus, à plus de 3 000 € du deuxième pays le plus dépensier (Suisse, 6 562€). Le kurtosis élevé (2,18) témoigne d 'une distribution concentrée autour du centre, mais avec une queue lourde causée par cette valeur extreme.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</si>
</sst>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_€"/>
  </numFmts>
  <fonts count="92" x14ac:knownFonts="1">
    <font>
      <sz val="11"/>
      <color theme="1"/>
      <name val="Calibri"/>
      <family val="2"/>
      <scheme val="minor"/>
    </font>
    <font>
      <b/>
      <sz val="11"/>
      <name val="Calibri"/>
      <family val="2"/>
    </font>
    <font>
      <sz val="11"/>
      <name val="Calibri"/>
      <family val="2"/>
    </font>
    <font>
      <sz val="11"/>
      <name val="Calibri"/>
      <family val="2"/>
    </font>
    <font>
      <sz val="11"/>
      <name val="Calibri"/>
      <family val="2"/>
    </font>
    <font>
      <sz val="11"/>
      <name val="Calibri"/>
      <family val="2"/>
    </font>
    <font>
      <b/>
      <sz val="11"/>
      <color rgb="FF000000"/>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b/>
      <sz val="16"/>
      <color theme="1"/>
      <name val="Calibri (Corps)"/>
    </font>
    <font>
      <sz val="9"/>
      <color theme="1"/>
      <name val="Calibri"/>
      <family val="2"/>
      <scheme val="minor"/>
    </font>
  </fonts>
  <fills count="93">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theme="4" tint="0.59999389629810485"/>
        <bgColor indexed="64"/>
      </patternFill>
    </fill>
  </fills>
  <borders count="1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02">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5" fillId="6" borderId="5" xfId="0" applyFont="1" applyFill="1" applyBorder="1" applyAlignment="1">
      <alignment horizontal="left" readingOrder="1"/>
    </xf>
    <xf numFmtId="0" fontId="83" fillId="85" borderId="6" xfId="0" applyFont="1" applyFill="1" applyBorder="1" applyAlignment="1">
      <alignment horizontal="left" vertical="top" wrapText="1"/>
    </xf>
    <xf numFmtId="0" fontId="84" fillId="86" borderId="7" xfId="0" applyFont="1" applyFill="1" applyBorder="1" applyAlignment="1">
      <alignment horizontal="left" vertical="top" wrapText="1"/>
    </xf>
    <xf numFmtId="0" fontId="85" fillId="87" borderId="8" xfId="0" applyFont="1" applyFill="1" applyBorder="1" applyAlignment="1">
      <alignment horizontal="left" vertical="top" wrapText="1"/>
    </xf>
    <xf numFmtId="0" fontId="86" fillId="88" borderId="9" xfId="0" applyFont="1" applyFill="1" applyBorder="1" applyAlignment="1">
      <alignment horizontal="left" vertical="top" wrapText="1"/>
    </xf>
    <xf numFmtId="0" fontId="87" fillId="89" borderId="10" xfId="0" applyFont="1" applyFill="1" applyBorder="1" applyAlignment="1">
      <alignment horizontal="left" vertical="top" wrapText="1"/>
    </xf>
    <xf numFmtId="0" fontId="88" fillId="90" borderId="11" xfId="0" applyFont="1" applyFill="1" applyBorder="1" applyAlignment="1">
      <alignment horizontal="left" vertical="top" wrapText="1"/>
    </xf>
    <xf numFmtId="0" fontId="89" fillId="91" borderId="12" xfId="0" applyFont="1" applyFill="1" applyBorder="1" applyAlignment="1">
      <alignment horizontal="left" vertical="top" wrapText="1"/>
    </xf>
    <xf numFmtId="0" fontId="7" fillId="9" borderId="13" xfId="0" applyFont="1" applyFill="1" applyBorder="1" applyAlignment="1">
      <alignment horizontal="left" vertical="top" wrapText="1" readingOrder="1"/>
    </xf>
    <xf numFmtId="0" fontId="9" fillId="11" borderId="13" xfId="0" applyFont="1" applyFill="1" applyBorder="1" applyAlignment="1">
      <alignment horizontal="left" vertical="top" wrapText="1" readingOrder="1"/>
    </xf>
    <xf numFmtId="0" fontId="11" fillId="13" borderId="13" xfId="0" applyFont="1" applyFill="1" applyBorder="1" applyAlignment="1">
      <alignment horizontal="left" vertical="top" wrapText="1" readingOrder="1"/>
    </xf>
    <xf numFmtId="0" fontId="13" fillId="15" borderId="13" xfId="0" applyFont="1" applyFill="1" applyBorder="1" applyAlignment="1">
      <alignment horizontal="left" vertical="top" wrapText="1" readingOrder="1"/>
    </xf>
    <xf numFmtId="0" fontId="15" fillId="17" borderId="13" xfId="0" applyFont="1" applyFill="1" applyBorder="1" applyAlignment="1">
      <alignment horizontal="left" vertical="top" wrapText="1" readingOrder="1"/>
    </xf>
    <xf numFmtId="0" fontId="17" fillId="19" borderId="13" xfId="0" applyFont="1" applyFill="1" applyBorder="1" applyAlignment="1">
      <alignment horizontal="left" vertical="top" wrapText="1" readingOrder="1"/>
    </xf>
    <xf numFmtId="0" fontId="19" fillId="21" borderId="13" xfId="0" applyFont="1" applyFill="1" applyBorder="1" applyAlignment="1">
      <alignment horizontal="left" vertical="top" wrapText="1" readingOrder="1"/>
    </xf>
    <xf numFmtId="0" fontId="21" fillId="23" borderId="13" xfId="0" applyFont="1" applyFill="1" applyBorder="1" applyAlignment="1">
      <alignment horizontal="left" vertical="top" wrapText="1" readingOrder="1"/>
    </xf>
    <xf numFmtId="0" fontId="23" fillId="25" borderId="13" xfId="0" applyFont="1" applyFill="1" applyBorder="1" applyAlignment="1">
      <alignment horizontal="left" vertical="top" wrapText="1" readingOrder="1"/>
    </xf>
    <xf numFmtId="0" fontId="25" fillId="27" borderId="13" xfId="0" applyFont="1" applyFill="1" applyBorder="1" applyAlignment="1">
      <alignment horizontal="left" vertical="top" wrapText="1" readingOrder="1"/>
    </xf>
    <xf numFmtId="0" fontId="27" fillId="29" borderId="13" xfId="0" applyFont="1" applyFill="1" applyBorder="1" applyAlignment="1">
      <alignment horizontal="left" vertical="top" wrapText="1" readingOrder="1"/>
    </xf>
    <xf numFmtId="0" fontId="29" fillId="31" borderId="13" xfId="0" applyFont="1" applyFill="1" applyBorder="1" applyAlignment="1">
      <alignment horizontal="left" vertical="top" wrapText="1" readingOrder="1"/>
    </xf>
    <xf numFmtId="0" fontId="31" fillId="33" borderId="13" xfId="0" applyFont="1" applyFill="1" applyBorder="1" applyAlignment="1">
      <alignment horizontal="left" vertical="top" wrapText="1" readingOrder="1"/>
    </xf>
    <xf numFmtId="0" fontId="33" fillId="35" borderId="13" xfId="0" applyFont="1" applyFill="1" applyBorder="1" applyAlignment="1">
      <alignment horizontal="left" vertical="top" wrapText="1" readingOrder="1"/>
    </xf>
    <xf numFmtId="0" fontId="35" fillId="37" borderId="13" xfId="0" applyFont="1" applyFill="1" applyBorder="1" applyAlignment="1">
      <alignment horizontal="left" vertical="top" wrapText="1" readingOrder="1"/>
    </xf>
    <xf numFmtId="0" fontId="37" fillId="39" borderId="13" xfId="0" applyFont="1" applyFill="1" applyBorder="1" applyAlignment="1">
      <alignment horizontal="left" vertical="top" wrapText="1" readingOrder="1"/>
    </xf>
    <xf numFmtId="0" fontId="39" fillId="41" borderId="13" xfId="0" applyFont="1" applyFill="1" applyBorder="1" applyAlignment="1">
      <alignment horizontal="left" vertical="top" wrapText="1" readingOrder="1"/>
    </xf>
    <xf numFmtId="0" fontId="41" fillId="43" borderId="13" xfId="0" applyFont="1" applyFill="1" applyBorder="1" applyAlignment="1">
      <alignment horizontal="left" vertical="top" wrapText="1" readingOrder="1"/>
    </xf>
    <xf numFmtId="0" fontId="43" fillId="45" borderId="13" xfId="0" applyFont="1" applyFill="1" applyBorder="1" applyAlignment="1">
      <alignment horizontal="left" vertical="top" wrapText="1" readingOrder="1"/>
    </xf>
    <xf numFmtId="0" fontId="45" fillId="47" borderId="13" xfId="0" applyFont="1" applyFill="1" applyBorder="1" applyAlignment="1">
      <alignment horizontal="left" vertical="top" wrapText="1" readingOrder="1"/>
    </xf>
    <xf numFmtId="0" fontId="47" fillId="49" borderId="13" xfId="0" applyFont="1" applyFill="1" applyBorder="1" applyAlignment="1">
      <alignment horizontal="left" vertical="top" wrapText="1" readingOrder="1"/>
    </xf>
    <xf numFmtId="0" fontId="49" fillId="51" borderId="13" xfId="0" applyFont="1" applyFill="1" applyBorder="1" applyAlignment="1">
      <alignment horizontal="left" vertical="top" wrapText="1" readingOrder="1"/>
    </xf>
    <xf numFmtId="0" fontId="51" fillId="53" borderId="13" xfId="0" applyFont="1" applyFill="1" applyBorder="1" applyAlignment="1">
      <alignment horizontal="left" vertical="top" wrapText="1" readingOrder="1"/>
    </xf>
    <xf numFmtId="0" fontId="53" fillId="55" borderId="13" xfId="0" applyFont="1" applyFill="1" applyBorder="1" applyAlignment="1">
      <alignment horizontal="left" vertical="top" wrapText="1" readingOrder="1"/>
    </xf>
    <xf numFmtId="0" fontId="55" fillId="57" borderId="13" xfId="0" applyFont="1" applyFill="1" applyBorder="1" applyAlignment="1">
      <alignment horizontal="left" vertical="top" wrapText="1" readingOrder="1"/>
    </xf>
    <xf numFmtId="0" fontId="57" fillId="59" borderId="13" xfId="0" applyFont="1" applyFill="1" applyBorder="1" applyAlignment="1">
      <alignment horizontal="left" vertical="top" wrapText="1" readingOrder="1"/>
    </xf>
    <xf numFmtId="0" fontId="59" fillId="61" borderId="13" xfId="0" applyFont="1" applyFill="1" applyBorder="1" applyAlignment="1">
      <alignment horizontal="left" vertical="top" wrapText="1" readingOrder="1"/>
    </xf>
    <xf numFmtId="0" fontId="61" fillId="63" borderId="13" xfId="0" applyFont="1" applyFill="1" applyBorder="1" applyAlignment="1">
      <alignment horizontal="left" vertical="top" wrapText="1" readingOrder="1"/>
    </xf>
    <xf numFmtId="0" fontId="63" fillId="65" borderId="13" xfId="0" applyFont="1" applyFill="1" applyBorder="1" applyAlignment="1">
      <alignment horizontal="left" vertical="top" wrapText="1" readingOrder="1"/>
    </xf>
    <xf numFmtId="0" fontId="65" fillId="67" borderId="13" xfId="0" applyFont="1" applyFill="1" applyBorder="1" applyAlignment="1">
      <alignment horizontal="left" vertical="top" wrapText="1" readingOrder="1"/>
    </xf>
    <xf numFmtId="0" fontId="67" fillId="69" borderId="13" xfId="0" applyFont="1" applyFill="1" applyBorder="1" applyAlignment="1">
      <alignment horizontal="left" vertical="top" wrapText="1" readingOrder="1"/>
    </xf>
    <xf numFmtId="0" fontId="69" fillId="71" borderId="13" xfId="0" applyFont="1" applyFill="1" applyBorder="1" applyAlignment="1">
      <alignment horizontal="left" vertical="top" wrapText="1" readingOrder="1"/>
    </xf>
    <xf numFmtId="0" fontId="71" fillId="73" borderId="13" xfId="0" applyFont="1" applyFill="1" applyBorder="1" applyAlignment="1">
      <alignment horizontal="left" vertical="top" wrapText="1" readingOrder="1"/>
    </xf>
    <xf numFmtId="0" fontId="73" fillId="75" borderId="13" xfId="0" applyFont="1" applyFill="1" applyBorder="1" applyAlignment="1">
      <alignment horizontal="left" vertical="top" wrapText="1" readingOrder="1"/>
    </xf>
    <xf numFmtId="0" fontId="75" fillId="77" borderId="13" xfId="0" applyFont="1" applyFill="1" applyBorder="1" applyAlignment="1">
      <alignment horizontal="left" vertical="top" wrapText="1" readingOrder="1"/>
    </xf>
    <xf numFmtId="0" fontId="77" fillId="79" borderId="13" xfId="0" applyFont="1" applyFill="1" applyBorder="1" applyAlignment="1">
      <alignment horizontal="left" vertical="top" wrapText="1" readingOrder="1"/>
    </xf>
    <xf numFmtId="0" fontId="79" fillId="81" borderId="13" xfId="0" applyFont="1" applyFill="1" applyBorder="1" applyAlignment="1">
      <alignment horizontal="left" vertical="top" wrapText="1" readingOrder="1"/>
    </xf>
    <xf numFmtId="0" fontId="81" fillId="83" borderId="17" xfId="0" applyFont="1" applyFill="1" applyBorder="1" applyAlignment="1">
      <alignment horizontal="left" vertical="top" wrapText="1" readingOrder="1"/>
    </xf>
    <xf numFmtId="0" fontId="0" fillId="0" borderId="0" xfId="0" applyAlignment="1">
      <alignment vertical="center"/>
    </xf>
    <xf numFmtId="2" fontId="0" fillId="0" borderId="0" xfId="0" applyNumberFormat="1" applyAlignment="1">
      <alignment vertical="center"/>
    </xf>
    <xf numFmtId="0" fontId="0" fillId="0" borderId="0" xfId="0" applyAlignment="1">
      <alignment vertical="center" wrapText="1"/>
    </xf>
    <xf numFmtId="164" fontId="56" fillId="58" borderId="14" xfId="0" applyNumberFormat="1" applyFont="1" applyFill="1" applyBorder="1" applyAlignment="1">
      <alignment horizontal="right" wrapText="1" readingOrder="1"/>
    </xf>
    <xf numFmtId="164" fontId="18" fillId="20" borderId="14" xfId="0" applyNumberFormat="1" applyFont="1" applyFill="1" applyBorder="1" applyAlignment="1">
      <alignment horizontal="right" wrapText="1" readingOrder="1"/>
    </xf>
    <xf numFmtId="164" fontId="20" fillId="22" borderId="14" xfId="0" applyNumberFormat="1" applyFont="1" applyFill="1" applyBorder="1" applyAlignment="1">
      <alignment horizontal="right" wrapText="1" readingOrder="1"/>
    </xf>
    <xf numFmtId="164" fontId="78" fillId="80" borderId="14" xfId="0" applyNumberFormat="1" applyFont="1" applyFill="1" applyBorder="1" applyAlignment="1">
      <alignment horizontal="right" wrapText="1" readingOrder="1"/>
    </xf>
    <xf numFmtId="164" fontId="36" fillId="38" borderId="14" xfId="0" applyNumberFormat="1" applyFont="1" applyFill="1" applyBorder="1" applyAlignment="1">
      <alignment horizontal="right" wrapText="1" readingOrder="1"/>
    </xf>
    <xf numFmtId="164" fontId="34" fillId="36" borderId="14" xfId="0" applyNumberFormat="1" applyFont="1" applyFill="1" applyBorder="1" applyAlignment="1">
      <alignment horizontal="right" wrapText="1" readingOrder="1"/>
    </xf>
    <xf numFmtId="164" fontId="50" fillId="52" borderId="14" xfId="0" applyNumberFormat="1" applyFont="1" applyFill="1" applyBorder="1" applyAlignment="1">
      <alignment horizontal="right" wrapText="1" readingOrder="1"/>
    </xf>
    <xf numFmtId="164" fontId="26" fillId="28" borderId="14" xfId="0" applyNumberFormat="1" applyFont="1" applyFill="1" applyBorder="1" applyAlignment="1">
      <alignment horizontal="right" wrapText="1" readingOrder="1"/>
    </xf>
    <xf numFmtId="164" fontId="68" fillId="70" borderId="14" xfId="0" applyNumberFormat="1" applyFont="1" applyFill="1" applyBorder="1" applyAlignment="1">
      <alignment horizontal="right" wrapText="1" readingOrder="1"/>
    </xf>
    <xf numFmtId="164" fontId="16" fillId="18" borderId="14" xfId="0" applyNumberFormat="1" applyFont="1" applyFill="1" applyBorder="1" applyAlignment="1">
      <alignment horizontal="right" wrapText="1" readingOrder="1"/>
    </xf>
    <xf numFmtId="164" fontId="42" fillId="44" borderId="14" xfId="0" applyNumberFormat="1" applyFont="1" applyFill="1" applyBorder="1" applyAlignment="1">
      <alignment horizontal="right" wrapText="1" readingOrder="1"/>
    </xf>
    <xf numFmtId="164" fontId="52" fillId="54" borderId="14" xfId="0" applyNumberFormat="1" applyFont="1" applyFill="1" applyBorder="1" applyAlignment="1">
      <alignment horizontal="right" wrapText="1" readingOrder="1"/>
    </xf>
    <xf numFmtId="164" fontId="64" fillId="66" borderId="14" xfId="0" applyNumberFormat="1" applyFont="1" applyFill="1" applyBorder="1" applyAlignment="1">
      <alignment horizontal="right" wrapText="1" readingOrder="1"/>
    </xf>
    <xf numFmtId="164" fontId="48" fillId="50" borderId="14" xfId="0" applyNumberFormat="1" applyFont="1" applyFill="1" applyBorder="1" applyAlignment="1">
      <alignment horizontal="right" wrapText="1" readingOrder="1"/>
    </xf>
    <xf numFmtId="164" fontId="44" fillId="46" borderId="14" xfId="0" applyNumberFormat="1" applyFont="1" applyFill="1" applyBorder="1" applyAlignment="1">
      <alignment horizontal="right" wrapText="1" readingOrder="1"/>
    </xf>
    <xf numFmtId="164" fontId="72" fillId="74" borderId="14" xfId="0" applyNumberFormat="1" applyFont="1" applyFill="1" applyBorder="1" applyAlignment="1">
      <alignment horizontal="right" wrapText="1" readingOrder="1"/>
    </xf>
    <xf numFmtId="164" fontId="22" fillId="24" borderId="14" xfId="0" applyNumberFormat="1" applyFont="1" applyFill="1" applyBorder="1" applyAlignment="1">
      <alignment horizontal="right" wrapText="1" readingOrder="1"/>
    </xf>
    <xf numFmtId="164" fontId="66" fillId="68" borderId="14" xfId="0" applyNumberFormat="1" applyFont="1" applyFill="1" applyBorder="1" applyAlignment="1">
      <alignment horizontal="right" wrapText="1" readingOrder="1"/>
    </xf>
    <xf numFmtId="164" fontId="70" fillId="72" borderId="14" xfId="0" applyNumberFormat="1" applyFont="1" applyFill="1" applyBorder="1" applyAlignment="1">
      <alignment horizontal="right" wrapText="1" readingOrder="1"/>
    </xf>
    <xf numFmtId="164" fontId="46" fillId="48" borderId="14" xfId="0" applyNumberFormat="1" applyFont="1" applyFill="1" applyBorder="1" applyAlignment="1">
      <alignment horizontal="right" wrapText="1" readingOrder="1"/>
    </xf>
    <xf numFmtId="164" fontId="60" fillId="62" borderId="14" xfId="0" applyNumberFormat="1" applyFont="1" applyFill="1" applyBorder="1" applyAlignment="1">
      <alignment horizontal="right" wrapText="1" readingOrder="1"/>
    </xf>
    <xf numFmtId="164" fontId="28" fillId="30" borderId="14" xfId="0" applyNumberFormat="1" applyFont="1" applyFill="1" applyBorder="1" applyAlignment="1">
      <alignment horizontal="right" wrapText="1" readingOrder="1"/>
    </xf>
    <xf numFmtId="164" fontId="38" fillId="40" borderId="14" xfId="0" applyNumberFormat="1" applyFont="1" applyFill="1" applyBorder="1" applyAlignment="1">
      <alignment horizontal="right" wrapText="1" readingOrder="1"/>
    </xf>
    <xf numFmtId="164" fontId="80" fillId="82" borderId="14" xfId="0" applyNumberFormat="1" applyFont="1" applyFill="1" applyBorder="1" applyAlignment="1">
      <alignment horizontal="right" wrapText="1" readingOrder="1"/>
    </xf>
    <xf numFmtId="164" fontId="14" fillId="16" borderId="14" xfId="0" applyNumberFormat="1" applyFont="1" applyFill="1" applyBorder="1" applyAlignment="1">
      <alignment horizontal="right" wrapText="1" readingOrder="1"/>
    </xf>
    <xf numFmtId="164" fontId="30" fillId="32" borderId="14" xfId="0" applyNumberFormat="1" applyFont="1" applyFill="1" applyBorder="1" applyAlignment="1">
      <alignment horizontal="right" wrapText="1" readingOrder="1"/>
    </xf>
    <xf numFmtId="164" fontId="24" fillId="26" borderId="14" xfId="0" applyNumberFormat="1" applyFont="1" applyFill="1" applyBorder="1" applyAlignment="1">
      <alignment horizontal="right" wrapText="1" readingOrder="1"/>
    </xf>
    <xf numFmtId="164" fontId="74" fillId="76" borderId="14" xfId="0" applyNumberFormat="1" applyFont="1" applyFill="1" applyBorder="1" applyAlignment="1">
      <alignment horizontal="right" wrapText="1" readingOrder="1"/>
    </xf>
    <xf numFmtId="164" fontId="8" fillId="10" borderId="14" xfId="0" applyNumberFormat="1" applyFont="1" applyFill="1" applyBorder="1" applyAlignment="1">
      <alignment horizontal="right" wrapText="1" readingOrder="1"/>
    </xf>
    <xf numFmtId="164" fontId="40" fillId="42" borderId="14" xfId="0" applyNumberFormat="1" applyFont="1" applyFill="1" applyBorder="1" applyAlignment="1">
      <alignment horizontal="right" wrapText="1" readingOrder="1"/>
    </xf>
    <xf numFmtId="164" fontId="12" fillId="14" borderId="14" xfId="0" applyNumberFormat="1" applyFont="1" applyFill="1" applyBorder="1" applyAlignment="1">
      <alignment horizontal="right" wrapText="1" readingOrder="1"/>
    </xf>
    <xf numFmtId="164" fontId="54" fillId="56" borderId="14" xfId="0" applyNumberFormat="1" applyFont="1" applyFill="1" applyBorder="1" applyAlignment="1">
      <alignment horizontal="right" wrapText="1" readingOrder="1"/>
    </xf>
    <xf numFmtId="164" fontId="58" fillId="60" borderId="14" xfId="0" applyNumberFormat="1" applyFont="1" applyFill="1" applyBorder="1" applyAlignment="1">
      <alignment horizontal="right" wrapText="1" readingOrder="1"/>
    </xf>
    <xf numFmtId="164" fontId="10" fillId="12" borderId="14" xfId="0" applyNumberFormat="1" applyFont="1" applyFill="1" applyBorder="1" applyAlignment="1">
      <alignment horizontal="right" wrapText="1" readingOrder="1"/>
    </xf>
    <xf numFmtId="164" fontId="62" fillId="64" borderId="14" xfId="0" applyNumberFormat="1" applyFont="1" applyFill="1" applyBorder="1" applyAlignment="1">
      <alignment horizontal="right" wrapText="1" readingOrder="1"/>
    </xf>
    <xf numFmtId="164" fontId="32" fillId="34" borderId="14" xfId="0" applyNumberFormat="1" applyFont="1" applyFill="1" applyBorder="1" applyAlignment="1">
      <alignment horizontal="right" wrapText="1" readingOrder="1"/>
    </xf>
    <xf numFmtId="164" fontId="76" fillId="78" borderId="14" xfId="0" applyNumberFormat="1" applyFont="1" applyFill="1" applyBorder="1" applyAlignment="1">
      <alignment horizontal="right" wrapText="1" readingOrder="1"/>
    </xf>
    <xf numFmtId="164" fontId="82" fillId="84" borderId="18" xfId="0" applyNumberFormat="1" applyFont="1" applyFill="1" applyBorder="1" applyAlignment="1">
      <alignment horizontal="right" wrapText="1" readingOrder="1"/>
    </xf>
    <xf numFmtId="0" fontId="0" fillId="0" borderId="12" xfId="0" applyBorder="1"/>
    <xf numFmtId="0" fontId="0" fillId="0" borderId="12" xfId="0" applyBorder="1" applyAlignment="1">
      <alignment vertical="center"/>
    </xf>
    <xf numFmtId="2" fontId="0" fillId="0" borderId="12" xfId="0" applyNumberFormat="1" applyBorder="1" applyAlignment="1">
      <alignment vertical="center"/>
    </xf>
    <xf numFmtId="0" fontId="0" fillId="0" borderId="12" xfId="0" applyBorder="1" applyAlignment="1">
      <alignment vertical="center" wrapText="1"/>
    </xf>
    <xf numFmtId="0" fontId="0" fillId="0" borderId="12" xfId="0" applyBorder="1" applyAlignment="1">
      <alignment wrapText="1"/>
    </xf>
    <xf numFmtId="0" fontId="0" fillId="0" borderId="0" xfId="0" applyAlignment="1">
      <alignment horizontal="left" vertical="center" wrapText="1" indent="1"/>
    </xf>
    <xf numFmtId="0" fontId="6" fillId="7" borderId="15" xfId="0" applyFont="1" applyFill="1" applyBorder="1" applyAlignment="1">
      <alignment horizontal="center" vertical="center" wrapText="1" readingOrder="1"/>
    </xf>
    <xf numFmtId="0" fontId="2" fillId="8" borderId="16" xfId="0" applyFont="1" applyFill="1" applyBorder="1" applyAlignment="1">
      <alignment horizontal="center" vertical="center" wrapText="1" readingOrder="1"/>
    </xf>
    <xf numFmtId="0" fontId="90" fillId="92" borderId="12" xfId="0" applyFont="1" applyFill="1" applyBorder="1" applyAlignment="1">
      <alignment horizontal="center" vertical="center"/>
    </xf>
    <xf numFmtId="0" fontId="91" fillId="0" borderId="0" xfId="0" applyFont="1" applyAlignment="1">
      <alignment horizontal="left" vertical="center" wrapText="1" indent="1"/>
    </xf>
  </cellXfs>
  <cellStyles count="1">
    <cellStyle name="Normal" xfId="0" builtinId="0"/>
  </cellStyles>
  <dxfs count="14">
    <dxf>
      <alignment horizontal="general" vertical="center" textRotation="0" wrapText="0" indent="0" justifyLastLine="0" shrinkToFit="0" readingOrder="0"/>
    </dxf>
    <dxf>
      <numFmt numFmtId="2" formatCode="0.00"/>
      <alignment horizontal="general" vertical="center" textRotation="0" wrapText="0" indent="0" justifyLastLine="0" shrinkToFit="0" readingOrder="0"/>
    </dxf>
    <dxf>
      <alignment horizontal="general" vertical="center" textRotation="0" wrapText="0" indent="0" justifyLastLine="0" shrinkToFit="0" readingOrder="0"/>
    </dxf>
    <dxf>
      <numFmt numFmtId="2" formatCode="0.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64" formatCode="#,##0.0\ _€"/>
      <fill>
        <patternFill patternType="none">
          <fgColor auto="1"/>
          <bgColor auto="1"/>
        </patternFill>
      </fill>
      <alignment horizontal="right" vertical="bottom" textRotation="0" wrapText="1" indent="0" justifyLastLine="0" shrinkToFit="0" readingOrder="1"/>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E2F2FB"/>
        </patternFill>
      </fill>
      <alignment horizontal="left" vertical="top" textRotation="0" wrapText="1" indent="0" justifyLastLine="0" shrinkToFit="0" readingOrder="1"/>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Dépense santé</a:t>
            </a:r>
            <a:r>
              <a:rPr lang="fr-FR" baseline="0"/>
              <a:t> par habitant, par pays (OCDE,2025) </a:t>
            </a:r>
            <a:endParaRPr lang="fr-FR"/>
          </a:p>
        </c:rich>
      </c:tx>
      <c:layout>
        <c:manualLayout>
          <c:xMode val="edge"/>
          <c:yMode val="edge"/>
          <c:x val="0.21715773809523811"/>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c:spPr>
          <c:invertIfNegative val="0"/>
          <c:dLbls>
            <c:delete val="1"/>
          </c:dLbls>
          <c:cat>
            <c:strRef>
              <c:f>onnées!$B$8:$B$45</c:f>
              <c:strCache>
                <c:ptCount val="38"/>
                <c:pt idx="0">
                  <c:v>Australia</c:v>
                </c:pt>
                <c:pt idx="1">
                  <c:v>Austria</c:v>
                </c:pt>
                <c:pt idx="2">
                  <c:v>Belgium</c:v>
                </c:pt>
                <c:pt idx="3">
                  <c:v>Canada</c:v>
                </c:pt>
                <c:pt idx="4">
                  <c:v>Chile</c:v>
                </c:pt>
                <c:pt idx="5">
                  <c:v>Colombia</c:v>
                </c:pt>
                <c:pt idx="6">
                  <c:v>Costa Rica</c:v>
                </c:pt>
                <c:pt idx="7">
                  <c:v>Czechia</c:v>
                </c:pt>
                <c:pt idx="8">
                  <c:v>Denmark</c:v>
                </c:pt>
                <c:pt idx="9">
                  <c:v>Estonia</c:v>
                </c:pt>
                <c:pt idx="10">
                  <c:v>Finland</c:v>
                </c:pt>
                <c:pt idx="11">
                  <c:v>France</c:v>
                </c:pt>
                <c:pt idx="12">
                  <c:v>Germany</c:v>
                </c:pt>
                <c:pt idx="13">
                  <c:v>Greece</c:v>
                </c:pt>
                <c:pt idx="14">
                  <c:v>Hungary</c:v>
                </c:pt>
                <c:pt idx="15">
                  <c:v>Iceland</c:v>
                </c:pt>
                <c:pt idx="16">
                  <c:v>Ireland</c:v>
                </c:pt>
                <c:pt idx="17">
                  <c:v>Israel</c:v>
                </c:pt>
                <c:pt idx="18">
                  <c:v>Italy</c:v>
                </c:pt>
                <c:pt idx="19">
                  <c:v>Japan</c:v>
                </c:pt>
                <c:pt idx="20">
                  <c:v>Korea</c:v>
                </c:pt>
                <c:pt idx="21">
                  <c:v>Latvia</c:v>
                </c:pt>
                <c:pt idx="22">
                  <c:v>Lithuania</c:v>
                </c:pt>
                <c:pt idx="23">
                  <c:v>Luxembourg</c:v>
                </c:pt>
                <c:pt idx="24">
                  <c:v>Mexico</c:v>
                </c:pt>
                <c:pt idx="25">
                  <c:v>Netherlands</c:v>
                </c:pt>
                <c:pt idx="26">
                  <c:v>New Zealand</c:v>
                </c:pt>
                <c:pt idx="27">
                  <c:v>Norway</c:v>
                </c:pt>
                <c:pt idx="28">
                  <c:v>Poland</c:v>
                </c:pt>
                <c:pt idx="29">
                  <c:v>Portugal</c:v>
                </c:pt>
                <c:pt idx="30">
                  <c:v>Slovak Republic</c:v>
                </c:pt>
                <c:pt idx="31">
                  <c:v>Slovenia</c:v>
                </c:pt>
                <c:pt idx="32">
                  <c:v>Spain</c:v>
                </c:pt>
                <c:pt idx="33">
                  <c:v>Sweden</c:v>
                </c:pt>
                <c:pt idx="34">
                  <c:v>Switzerland</c:v>
                </c:pt>
                <c:pt idx="35">
                  <c:v>Türkiye</c:v>
                </c:pt>
                <c:pt idx="36">
                  <c:v>United Kingdom</c:v>
                </c:pt>
                <c:pt idx="37">
                  <c:v>United States</c:v>
                </c:pt>
              </c:strCache>
            </c:strRef>
          </c:cat>
          <c:val>
            <c:numRef>
              <c:f>onnées!$C$8:$C$45</c:f>
              <c:numCache>
                <c:formatCode>#\ ##0.0\ _€</c:formatCode>
                <c:ptCount val="38"/>
                <c:pt idx="0">
                  <c:v>5041.8289999999997</c:v>
                </c:pt>
                <c:pt idx="1">
                  <c:v>5604.3559999999998</c:v>
                </c:pt>
                <c:pt idx="2">
                  <c:v>5120.12</c:v>
                </c:pt>
                <c:pt idx="3">
                  <c:v>4631.6869999999999</c:v>
                </c:pt>
                <c:pt idx="4">
                  <c:v>2526.94</c:v>
                </c:pt>
                <c:pt idx="5">
                  <c:v>1288.529</c:v>
                </c:pt>
                <c:pt idx="6">
                  <c:v>1362.3879999999999</c:v>
                </c:pt>
                <c:pt idx="7">
                  <c:v>3462.96</c:v>
                </c:pt>
                <c:pt idx="8">
                  <c:v>4677.1540000000005</c:v>
                </c:pt>
                <c:pt idx="9">
                  <c:v>2503.8780000000002</c:v>
                </c:pt>
                <c:pt idx="10">
                  <c:v>4180.799</c:v>
                </c:pt>
                <c:pt idx="11">
                  <c:v>4641.5720000000001</c:v>
                </c:pt>
                <c:pt idx="12">
                  <c:v>6242.1409999999996</c:v>
                </c:pt>
                <c:pt idx="13">
                  <c:v>2346.3490000000002</c:v>
                </c:pt>
                <c:pt idx="14">
                  <c:v>2090.75</c:v>
                </c:pt>
                <c:pt idx="15">
                  <c:v>4402.8969999999999</c:v>
                </c:pt>
                <c:pt idx="16">
                  <c:v>5112.0029999999997</c:v>
                </c:pt>
                <c:pt idx="17">
                  <c:v>2656.0230000000001</c:v>
                </c:pt>
                <c:pt idx="18">
                  <c:v>3292.7280000000001</c:v>
                </c:pt>
                <c:pt idx="19">
                  <c:v>3623.828</c:v>
                </c:pt>
                <c:pt idx="20">
                  <c:v>3259.1790000000001</c:v>
                </c:pt>
                <c:pt idx="21">
                  <c:v>2446.442</c:v>
                </c:pt>
                <c:pt idx="22">
                  <c:v>2734.5770000000002</c:v>
                </c:pt>
                <c:pt idx="23">
                  <c:v>5237.2830000000004</c:v>
                </c:pt>
                <c:pt idx="24">
                  <c:v>1036.546</c:v>
                </c:pt>
                <c:pt idx="25">
                  <c:v>5532.3429999999998</c:v>
                </c:pt>
                <c:pt idx="26">
                  <c:v>3737.8159999999998</c:v>
                </c:pt>
                <c:pt idx="27">
                  <c:v>5679.5789999999997</c:v>
                </c:pt>
                <c:pt idx="28">
                  <c:v>3163.6909999999998</c:v>
                </c:pt>
                <c:pt idx="29">
                  <c:v>3476.355</c:v>
                </c:pt>
                <c:pt idx="30">
                  <c:v>2506.1709999999998</c:v>
                </c:pt>
                <c:pt idx="31">
                  <c:v>3510.9009999999998</c:v>
                </c:pt>
                <c:pt idx="32">
                  <c:v>3338.8980000000001</c:v>
                </c:pt>
                <c:pt idx="33">
                  <c:v>4824.9629999999997</c:v>
                </c:pt>
                <c:pt idx="34">
                  <c:v>6562.1170000000002</c:v>
                </c:pt>
                <c:pt idx="35">
                  <c:v>1477.8920000000001</c:v>
                </c:pt>
                <c:pt idx="36">
                  <c:v>4521.6909999999998</c:v>
                </c:pt>
                <c:pt idx="37">
                  <c:v>9776.4570000000003</c:v>
                </c:pt>
              </c:numCache>
            </c:numRef>
          </c:val>
          <c:extLst>
            <c:ext xmlns:c16="http://schemas.microsoft.com/office/drawing/2014/chart" uri="{C3380CC4-5D6E-409C-BE32-E72D297353CC}">
              <c16:uniqueId val="{00000000-71FE-A445-8353-764ED7112558}"/>
            </c:ext>
          </c:extLst>
        </c:ser>
        <c:dLbls>
          <c:dLblPos val="outEnd"/>
          <c:showLegendKey val="0"/>
          <c:showVal val="1"/>
          <c:showCatName val="0"/>
          <c:showSerName val="0"/>
          <c:showPercent val="0"/>
          <c:showBubbleSize val="0"/>
        </c:dLbls>
        <c:gapWidth val="100"/>
        <c:overlap val="-24"/>
        <c:axId val="438879551"/>
        <c:axId val="438881343"/>
      </c:barChart>
      <c:catAx>
        <c:axId val="4388795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8881343"/>
        <c:crosses val="autoZero"/>
        <c:auto val="1"/>
        <c:lblAlgn val="ctr"/>
        <c:lblOffset val="100"/>
        <c:noMultiLvlLbl val="0"/>
      </c:catAx>
      <c:valAx>
        <c:axId val="438881343"/>
        <c:scaling>
          <c:orientation val="minMax"/>
          <c:max val="10000"/>
        </c:scaling>
        <c:delete val="0"/>
        <c:axPos val="l"/>
        <c:majorGridlines>
          <c:spPr>
            <a:ln w="28575" cap="flat" cmpd="thinThick" algn="ctr">
              <a:solidFill>
                <a:schemeClr val="tx1">
                  <a:lumMod val="15000"/>
                  <a:lumOff val="85000"/>
                </a:schemeClr>
              </a:solidFill>
              <a:round/>
            </a:ln>
            <a:effectLst/>
          </c:spPr>
        </c:majorGridlines>
        <c:numFmt formatCode="#\ ##0.0\ 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887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Dépense santé par habitant des pays de l'OCDE (boxplot) </cx:v>
        </cx:txData>
      </cx:tx>
      <cx:txPr>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fr-FR" sz="1400" b="0" i="0" u="none" strike="noStrike" baseline="0">
              <a:solidFill>
                <a:sysClr val="windowText" lastClr="000000">
                  <a:lumMod val="65000"/>
                  <a:lumOff val="35000"/>
                </a:sysClr>
              </a:solidFill>
              <a:latin typeface="Calibri" panose="020F0502020204030204"/>
            </a:rPr>
            <a:t>Dépense santé par habitant des pays de l'OCDE (boxplot) </a:t>
          </a:r>
        </a:p>
      </cx:txPr>
      <cx:extLst>
        <cx:ext uri="ext:featex">
          <cx:featureExtension feature="mp" drop="onModelChange">
            <cx:offset top="0.0138888880610466" left="0.1805555522441864"/>
          </cx:featureExtension>
        </cx:ext>
      </cx:extLst>
    </cx:title>
    <cx:plotArea>
      <cx:plotAreaRegion>
        <cx:series layoutId="boxWhisker" uniqueId="{527102B3-FFFE-8C48-85DB-B32E2651E008}" formatIdx="0">
          <cx:spPr>
            <a:noFill/>
            <a:ln>
              <a:solidFill>
                <a:schemeClr val="accent5">
                  <a:lumMod val="50000"/>
                </a:schemeClr>
              </a:solidFill>
            </a:ln>
          </cx:spPr>
          <cx:dataId val="0"/>
          <cx:layoutPr>
            <cx:visibility meanLine="1" meanMarker="1" nonoutliers="1" outliers="1"/>
            <cx:statistics quartileMethod="exclusive"/>
          </cx:layoutPr>
        </cx:series>
      </cx:plotAreaRegion>
      <cx:axis id="0">
        <cx:catScaling gapWidth="1"/>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fr-FR"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fr-FR" sz="1500" b="0" i="0" u="none" strike="noStrike" cap="all" spc="100" baseline="0">
                <a:solidFill>
                  <a:sysClr val="window" lastClr="FFFFFF"/>
                </a:solidFill>
                <a:effectLst/>
                <a:latin typeface="Calibri" panose="020F0502020204030204"/>
                <a:ea typeface="Calibri" panose="020F0502020204030204" pitchFamily="34" charset="0"/>
                <a:cs typeface="Calibri" panose="020F0502020204030204" pitchFamily="34" charset="0"/>
              </a:rPr>
              <a:t>Dépenses de santé par habitant, par pays (OCDE, 2025)</a:t>
            </a:r>
            <a:endParaRPr lang="fr-FR" sz="1500" b="1" i="0" u="none" strike="noStrike" cap="all" spc="100" baseline="0">
              <a:solidFill>
                <a:sysClr val="window" lastClr="FFFFFF"/>
              </a:solidFill>
              <a:latin typeface="Calibri" panose="020F0502020204030204"/>
            </a:endParaRPr>
          </a:p>
        </cx:rich>
      </cx:tx>
      <cx:extLst>
        <cx:ext uri="ext:featex">
          <cx:featureExtension feature="mp" drop="onModelChange">
            <cx:offset top="0.015262466855347157" left="0.15262576937675476"/>
          </cx:featureExtension>
        </cx:ext>
      </cx:extLst>
    </cx:title>
    <cx:plotArea>
      <cx:plotAreaRegion>
        <cx:plotSurface>
          <cx:spPr>
            <a:solidFill>
              <a:schemeClr val="accent5">
                <a:lumMod val="75000"/>
              </a:schemeClr>
            </a:solidFill>
          </cx:spPr>
        </cx:plotSurface>
        <cx:series layoutId="clusteredColumn" uniqueId="{9FD36DE8-8B8E-A14D-B160-BF1548A2ADDB}" formatIdx="0">
          <cx:tx>
            <cx:txData>
              <cx:f>_xlchart.v1.2</cx:f>
              <cx:v>Dépenses de santé par habitants</cx:v>
            </cx:txData>
          </cx:tx>
          <cx:dataPt idx="0"/>
          <cx:dataPt idx="2"/>
          <cx:dataId val="0"/>
          <cx:layoutPr>
            <cx:binning intervalClosed="r"/>
          </cx:layoutPr>
        </cx:series>
      </cx:plotAreaRegion>
      <cx:axis id="0">
        <cx:catScaling gapWidth="0"/>
        <cx:title>
          <cx:tx>
            <cx:rich>
              <a:bodyPr spcFirstLastPara="1" vertOverflow="ellipsis" horzOverflow="overflow" wrap="square" lIns="0" tIns="0" rIns="0" bIns="0" anchor="ctr" anchorCtr="1"/>
              <a:lstStyle/>
              <a:p>
                <a:pPr algn="ctr" rtl="0">
                  <a:defRPr/>
                </a:pPr>
                <a:r>
                  <a:rPr lang="fr-FR" sz="900" b="0" i="0" u="none" strike="noStrike" baseline="0">
                    <a:solidFill>
                      <a:sysClr val="window" lastClr="FFFFFF"/>
                    </a:solidFill>
                    <a:effectLst/>
                    <a:latin typeface="Calibri" panose="020F0502020204030204"/>
                    <a:ea typeface="Calibri" panose="020F0502020204030204" pitchFamily="34" charset="0"/>
                    <a:cs typeface="Calibri" panose="020F0502020204030204" pitchFamily="34" charset="0"/>
                  </a:rPr>
                  <a:t>Dépense de santé par habitant (€ PPA)</a:t>
                </a:r>
                <a:endParaRPr lang="fr-FR" sz="900" b="0" i="0" u="none" strike="noStrike" baseline="0">
                  <a:solidFill>
                    <a:sysClr val="window" lastClr="FFFFFF"/>
                  </a:solidFill>
                  <a:latin typeface="Calibri" panose="020F0502020204030204"/>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fr-FR" sz="900" b="0" i="0" u="none" strike="noStrike" baseline="0">
                    <a:solidFill>
                      <a:sysClr val="window" lastClr="FFFFFF"/>
                    </a:solidFill>
                    <a:effectLst/>
                    <a:latin typeface="Calibri" panose="020F0502020204030204"/>
                    <a:ea typeface="Calibri" panose="020F0502020204030204" pitchFamily="34" charset="0"/>
                    <a:cs typeface="Calibri" panose="020F0502020204030204" pitchFamily="34" charset="0"/>
                  </a:rPr>
                  <a:t>Nombre de pays (effectif)</a:t>
                </a:r>
                <a:endParaRPr lang="fr-FR" sz="900" b="0" i="0" u="none" strike="noStrike" baseline="0">
                  <a:solidFill>
                    <a:sysClr val="window" lastClr="FFFFFF"/>
                  </a:solidFill>
                  <a:latin typeface="Calibri" panose="020F0502020204030204"/>
                </a:endParaRPr>
              </a:p>
            </cx:rich>
          </cx:tx>
        </cx:title>
        <cx:majorGridlines/>
        <cx:tickLabels/>
      </cx:axis>
    </cx:plotArea>
  </cx:chart>
  <cx:spPr>
    <a:solidFill>
      <a:schemeClr val="accent5">
        <a:lumMod val="7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42799</xdr:colOff>
      <xdr:row>1</xdr:row>
      <xdr:rowOff>166215</xdr:rowOff>
    </xdr:from>
    <xdr:to>
      <xdr:col>9</xdr:col>
      <xdr:colOff>927100</xdr:colOff>
      <xdr:row>45</xdr:row>
      <xdr:rowOff>61451</xdr:rowOff>
    </xdr:to>
    <xdr:graphicFrame macro="">
      <xdr:nvGraphicFramePr>
        <xdr:cNvPr id="2" name="Graphique 1">
          <a:extLst>
            <a:ext uri="{FF2B5EF4-FFF2-40B4-BE49-F238E27FC236}">
              <a16:creationId xmlns:a16="http://schemas.microsoft.com/office/drawing/2014/main" id="{60A44EA0-10CA-584B-9277-8823604F5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558800</xdr:colOff>
      <xdr:row>22</xdr:row>
      <xdr:rowOff>139700</xdr:rowOff>
    </xdr:from>
    <xdr:to>
      <xdr:col>17</xdr:col>
      <xdr:colOff>177800</xdr:colOff>
      <xdr:row>44</xdr:row>
      <xdr:rowOff>94391</xdr:rowOff>
    </xdr:to>
    <mc:AlternateContent xmlns:mc="http://schemas.openxmlformats.org/markup-compatibility/2006">
      <mc:Choice xmlns:cx1="http://schemas.microsoft.com/office/drawing/2015/9/8/chartex" Requires="cx1">
        <xdr:graphicFrame macro="">
          <xdr:nvGraphicFramePr>
            <xdr:cNvPr id="3" name="Graphique 2">
              <a:extLst>
                <a:ext uri="{FF2B5EF4-FFF2-40B4-BE49-F238E27FC236}">
                  <a16:creationId xmlns:a16="http://schemas.microsoft.com/office/drawing/2014/main" id="{3303165B-EE9E-D349-91C5-BCC1205CCE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331200" y="4330700"/>
              <a:ext cx="4572000" cy="4145691"/>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10</xdr:col>
      <xdr:colOff>203200</xdr:colOff>
      <xdr:row>1</xdr:row>
      <xdr:rowOff>114301</xdr:rowOff>
    </xdr:from>
    <xdr:to>
      <xdr:col>17</xdr:col>
      <xdr:colOff>711200</xdr:colOff>
      <xdr:row>20</xdr:row>
      <xdr:rowOff>76201</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C2693B53-C3D9-E04D-BCB2-A8D54A9670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150100" y="304801"/>
              <a:ext cx="6286500" cy="35814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AC4960-4BB3-7141-A7CF-B6D97023225A}" name="Tableau3" displayName="Tableau3" ref="B7:C45" totalsRowShown="0" headerRowBorderDxfId="13" tableBorderDxfId="12" totalsRowBorderDxfId="11">
  <autoFilter ref="B7:C45" xr:uid="{74AC4960-4BB3-7141-A7CF-B6D97023225A}"/>
  <sortState xmlns:xlrd2="http://schemas.microsoft.com/office/spreadsheetml/2017/richdata2" ref="B8:C45">
    <sortCondition ref="B7:B45"/>
  </sortState>
  <tableColumns count="2">
    <tableColumn id="1" xr3:uid="{61597AEC-793B-9F4B-9E3A-935E069D99E6}" name="Pays" dataDxfId="10"/>
    <tableColumn id="3" xr3:uid="{8AFB5C3C-8C8F-6D40-B306-320EF120D5D5}" name="Dépenses de santé par habitants" data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F64984-3C32-F84A-A9BF-2BCBA46BCBEF}" name="Tableau1" displayName="Tableau1" ref="B4:E21" headerRowCount="0" headerRowDxfId="8">
  <tableColumns count="4">
    <tableColumn id="1" xr3:uid="{E446466C-6CA2-CC44-A7BB-F683B450A5D8}" name="Colonne1" totalsRowLabel="Total" headerRowDxfId="7" dataDxfId="6" totalsRowDxfId="5"/>
    <tableColumn id="2" xr3:uid="{CDE5BAB6-AC6D-744C-ABF0-91C09F0DAD7D}" name="Colonne2" totalsRowFunction="sum" headerRowDxfId="4" dataDxfId="3"/>
    <tableColumn id="5" xr3:uid="{573ABD89-8520-A147-8B5B-6CC14787AAD4}" name="Colonne5" headerRowDxfId="2" dataDxfId="1"/>
    <tableColumn id="4" xr3:uid="{33392B81-F645-824D-B14C-C99F275FC9AF}" name="Colonne4" headerRowDxfId="0"/>
  </tableColumns>
  <tableStyleInfo name="TableStyleLight6"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data-explorer.oecd.orgvis/?lc=en&amp;df%5bds%5d=dsDisseminateFinalDMZ&amp;df%5bid%5d=DSD_SHA%40DF_SHA_FP&amp;df%5bag%5d=OECD.ELS.HD&amp;df%5bvs%5d=1.1" TargetMode="External"/><Relationship Id="rId2" Type="http://schemas.openxmlformats.org/officeDocument/2006/relationships/hyperlink" Target="https://data-explorer.oecd.orgvis/?lc=en&amp;df%5bds%5d=dsDisseminateFinalDMZ&amp;df%5bid%5d=DSD_SHA%40DF_SHA_HK&amp;df%5bag%5d=OECD.ELS.HD&amp;df%5bvs%5d=1.1" TargetMode="External"/><Relationship Id="rId1" Type="http://schemas.openxmlformats.org/officeDocument/2006/relationships/hyperlink" Target="https://data-explorer.oecd.orgvis/?lc=en&amp;df%5bds%5d=dsDisseminateFinalDMZ&amp;df%5bid%5d=DSD_SHA%40DF_SHA_COV&amp;df%5bag%5d=OECD.ELS.HD&amp;df%5bvs%5d=1.0" TargetMode="External"/><Relationship Id="rId4" Type="http://schemas.openxmlformats.org/officeDocument/2006/relationships/hyperlink" Target="https://data-explorer.oecd.orgvis/?lc=en&amp;df%5bds%5d=dsDisseminateFinalDMZ&amp;df%5bid%5d=DSD_SHA%40DF_SHA_FS&amp;df%5bag%5d=OECD.ELS.HD&amp;df%5bvs%5d=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5"/>
  <sheetViews>
    <sheetView view="pageLayout" zoomScaleNormal="60" zoomScaleSheetLayoutView="50" workbookViewId="0">
      <selection activeCell="D3" sqref="D3"/>
    </sheetView>
  </sheetViews>
  <sheetFormatPr baseColWidth="10" defaultColWidth="8.83203125" defaultRowHeight="15" x14ac:dyDescent="0.2"/>
  <cols>
    <col min="2" max="2" width="19.83203125" customWidth="1"/>
    <col min="3" max="3" width="13.5" customWidth="1"/>
    <col min="4" max="4" width="45" customWidth="1"/>
    <col min="5" max="5" width="55.33203125" customWidth="1"/>
  </cols>
  <sheetData>
    <row r="1" spans="2:3" x14ac:dyDescent="0.2">
      <c r="B1" s="1" t="s">
        <v>0</v>
      </c>
    </row>
    <row r="2" spans="2:3" x14ac:dyDescent="0.2">
      <c r="B2" s="2" t="s">
        <v>1</v>
      </c>
    </row>
    <row r="3" spans="2:3" x14ac:dyDescent="0.2">
      <c r="B3" s="3" t="s">
        <v>2</v>
      </c>
    </row>
    <row r="4" spans="2:3" x14ac:dyDescent="0.2">
      <c r="B4" s="4" t="s">
        <v>3</v>
      </c>
    </row>
    <row r="5" spans="2:3" x14ac:dyDescent="0.2">
      <c r="B5" s="5" t="s">
        <v>4</v>
      </c>
    </row>
    <row r="7" spans="2:3" ht="28" customHeight="1" x14ac:dyDescent="0.2">
      <c r="B7" s="98" t="s">
        <v>52</v>
      </c>
      <c r="C7" s="99" t="s">
        <v>53</v>
      </c>
    </row>
    <row r="8" spans="2:3" ht="16" x14ac:dyDescent="0.2">
      <c r="B8" s="13" t="s">
        <v>5</v>
      </c>
      <c r="C8" s="82">
        <v>5041.8289999999997</v>
      </c>
    </row>
    <row r="9" spans="2:3" ht="16" x14ac:dyDescent="0.2">
      <c r="B9" s="14" t="s">
        <v>6</v>
      </c>
      <c r="C9" s="87">
        <v>5604.3559999999998</v>
      </c>
    </row>
    <row r="10" spans="2:3" ht="16" x14ac:dyDescent="0.2">
      <c r="B10" s="15" t="s">
        <v>7</v>
      </c>
      <c r="C10" s="84">
        <v>5120.12</v>
      </c>
    </row>
    <row r="11" spans="2:3" ht="16" x14ac:dyDescent="0.2">
      <c r="B11" s="16" t="s">
        <v>8</v>
      </c>
      <c r="C11" s="78">
        <v>4631.6869999999999</v>
      </c>
    </row>
    <row r="12" spans="2:3" ht="16" x14ac:dyDescent="0.2">
      <c r="B12" s="17" t="s">
        <v>9</v>
      </c>
      <c r="C12" s="63">
        <v>2526.94</v>
      </c>
    </row>
    <row r="13" spans="2:3" ht="16" x14ac:dyDescent="0.2">
      <c r="B13" s="18" t="s">
        <v>10</v>
      </c>
      <c r="C13" s="55">
        <v>1288.529</v>
      </c>
    </row>
    <row r="14" spans="2:3" ht="16" x14ac:dyDescent="0.2">
      <c r="B14" s="19" t="s">
        <v>11</v>
      </c>
      <c r="C14" s="56">
        <v>1362.3879999999999</v>
      </c>
    </row>
    <row r="15" spans="2:3" ht="16" x14ac:dyDescent="0.2">
      <c r="B15" s="20" t="s">
        <v>12</v>
      </c>
      <c r="C15" s="70">
        <v>3462.96</v>
      </c>
    </row>
    <row r="16" spans="2:3" ht="16" x14ac:dyDescent="0.2">
      <c r="B16" s="21" t="s">
        <v>13</v>
      </c>
      <c r="C16" s="80">
        <v>4677.1540000000005</v>
      </c>
    </row>
    <row r="17" spans="2:3" ht="16" x14ac:dyDescent="0.2">
      <c r="B17" s="22" t="s">
        <v>14</v>
      </c>
      <c r="C17" s="61">
        <v>2503.8780000000002</v>
      </c>
    </row>
    <row r="18" spans="2:3" ht="16" x14ac:dyDescent="0.2">
      <c r="B18" s="23" t="s">
        <v>15</v>
      </c>
      <c r="C18" s="75">
        <v>4180.799</v>
      </c>
    </row>
    <row r="19" spans="2:3" ht="16" x14ac:dyDescent="0.2">
      <c r="B19" s="24" t="s">
        <v>16</v>
      </c>
      <c r="C19" s="79">
        <v>4641.5720000000001</v>
      </c>
    </row>
    <row r="20" spans="2:3" ht="16" x14ac:dyDescent="0.2">
      <c r="B20" s="25" t="s">
        <v>17</v>
      </c>
      <c r="C20" s="89">
        <v>6242.1409999999996</v>
      </c>
    </row>
    <row r="21" spans="2:3" ht="16" x14ac:dyDescent="0.2">
      <c r="B21" s="26" t="s">
        <v>18</v>
      </c>
      <c r="C21" s="59">
        <v>2346.3490000000002</v>
      </c>
    </row>
    <row r="22" spans="2:3" ht="16" x14ac:dyDescent="0.2">
      <c r="B22" s="27" t="s">
        <v>19</v>
      </c>
      <c r="C22" s="58">
        <v>2090.75</v>
      </c>
    </row>
    <row r="23" spans="2:3" ht="16" x14ac:dyDescent="0.2">
      <c r="B23" s="28" t="s">
        <v>20</v>
      </c>
      <c r="C23" s="76">
        <v>4402.8969999999999</v>
      </c>
    </row>
    <row r="24" spans="2:3" ht="16" x14ac:dyDescent="0.2">
      <c r="B24" s="29" t="s">
        <v>21</v>
      </c>
      <c r="C24" s="83">
        <v>5112.0029999999997</v>
      </c>
    </row>
    <row r="25" spans="2:3" ht="16" x14ac:dyDescent="0.2">
      <c r="B25" s="30" t="s">
        <v>22</v>
      </c>
      <c r="C25" s="64">
        <v>2656.0230000000001</v>
      </c>
    </row>
    <row r="26" spans="2:3" ht="16" x14ac:dyDescent="0.2">
      <c r="B26" s="31" t="s">
        <v>23</v>
      </c>
      <c r="C26" s="68">
        <v>3292.7280000000001</v>
      </c>
    </row>
    <row r="27" spans="2:3" ht="16" x14ac:dyDescent="0.2">
      <c r="B27" s="32" t="s">
        <v>24</v>
      </c>
      <c r="C27" s="73">
        <v>3623.828</v>
      </c>
    </row>
    <row r="28" spans="2:3" ht="16" x14ac:dyDescent="0.2">
      <c r="B28" s="33" t="s">
        <v>25</v>
      </c>
      <c r="C28" s="67">
        <v>3259.1790000000001</v>
      </c>
    </row>
    <row r="29" spans="2:3" ht="16" x14ac:dyDescent="0.2">
      <c r="B29" s="34" t="s">
        <v>26</v>
      </c>
      <c r="C29" s="60">
        <v>2446.442</v>
      </c>
    </row>
    <row r="30" spans="2:3" ht="16" x14ac:dyDescent="0.2">
      <c r="B30" s="35" t="s">
        <v>27</v>
      </c>
      <c r="C30" s="65">
        <v>2734.5770000000002</v>
      </c>
    </row>
    <row r="31" spans="2:3" ht="16" x14ac:dyDescent="0.2">
      <c r="B31" s="36" t="s">
        <v>28</v>
      </c>
      <c r="C31" s="85">
        <v>5237.2830000000004</v>
      </c>
    </row>
    <row r="32" spans="2:3" ht="16" x14ac:dyDescent="0.2">
      <c r="B32" s="37" t="s">
        <v>29</v>
      </c>
      <c r="C32" s="54">
        <v>1036.546</v>
      </c>
    </row>
    <row r="33" spans="2:3" ht="16" x14ac:dyDescent="0.2">
      <c r="B33" s="38" t="s">
        <v>30</v>
      </c>
      <c r="C33" s="86">
        <v>5532.3429999999998</v>
      </c>
    </row>
    <row r="34" spans="2:3" ht="16" x14ac:dyDescent="0.2">
      <c r="B34" s="39" t="s">
        <v>31</v>
      </c>
      <c r="C34" s="74">
        <v>3737.8159999999998</v>
      </c>
    </row>
    <row r="35" spans="2:3" ht="16" x14ac:dyDescent="0.2">
      <c r="B35" s="40" t="s">
        <v>32</v>
      </c>
      <c r="C35" s="88">
        <v>5679.5789999999997</v>
      </c>
    </row>
    <row r="36" spans="2:3" ht="16" x14ac:dyDescent="0.2">
      <c r="B36" s="41" t="s">
        <v>33</v>
      </c>
      <c r="C36" s="66">
        <v>3163.6909999999998</v>
      </c>
    </row>
    <row r="37" spans="2:3" ht="16" x14ac:dyDescent="0.2">
      <c r="B37" s="42" t="s">
        <v>34</v>
      </c>
      <c r="C37" s="71">
        <v>3476.355</v>
      </c>
    </row>
    <row r="38" spans="2:3" ht="16" x14ac:dyDescent="0.2">
      <c r="B38" s="43" t="s">
        <v>35</v>
      </c>
      <c r="C38" s="62">
        <v>2506.1709999999998</v>
      </c>
    </row>
    <row r="39" spans="2:3" ht="16" x14ac:dyDescent="0.2">
      <c r="B39" s="44" t="s">
        <v>36</v>
      </c>
      <c r="C39" s="72">
        <v>3510.9009999999998</v>
      </c>
    </row>
    <row r="40" spans="2:3" ht="16" x14ac:dyDescent="0.2">
      <c r="B40" s="45" t="s">
        <v>37</v>
      </c>
      <c r="C40" s="69">
        <v>3338.8980000000001</v>
      </c>
    </row>
    <row r="41" spans="2:3" ht="16" x14ac:dyDescent="0.2">
      <c r="B41" s="46" t="s">
        <v>38</v>
      </c>
      <c r="C41" s="81">
        <v>4824.9629999999997</v>
      </c>
    </row>
    <row r="42" spans="2:3" ht="16" x14ac:dyDescent="0.2">
      <c r="B42" s="47" t="s">
        <v>39</v>
      </c>
      <c r="C42" s="90">
        <v>6562.1170000000002</v>
      </c>
    </row>
    <row r="43" spans="2:3" ht="16" x14ac:dyDescent="0.2">
      <c r="B43" s="48" t="s">
        <v>40</v>
      </c>
      <c r="C43" s="57">
        <v>1477.8920000000001</v>
      </c>
    </row>
    <row r="44" spans="2:3" ht="16" x14ac:dyDescent="0.2">
      <c r="B44" s="49" t="s">
        <v>41</v>
      </c>
      <c r="C44" s="77">
        <v>4521.6909999999998</v>
      </c>
    </row>
    <row r="45" spans="2:3" ht="16" x14ac:dyDescent="0.2">
      <c r="B45" s="50" t="s">
        <v>42</v>
      </c>
      <c r="C45" s="91">
        <v>9776.4570000000003</v>
      </c>
    </row>
  </sheetData>
  <pageMargins left="0.27777777777777779" right="0.27777777777777779" top="0.75" bottom="0.75" header="0.3" footer="0.3"/>
  <pageSetup paperSize="9" orientation="portrait" horizontalDpi="0" verticalDpi="0"/>
  <headerFooter>
    <oddHeader>&amp;C&amp;"Calibri (Corps),Gras"&amp;22&amp;UDonnées</oddHeader>
  </headerFooter>
  <rowBreaks count="1" manualBreakCount="1">
    <brk id="664" max="16383" man="1"/>
  </rowBreaks>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441C4-8F69-E94B-98B9-A0BDDC31C5EB}">
  <dimension ref="B1:E45"/>
  <sheetViews>
    <sheetView view="pageLayout" zoomScaleNormal="100" zoomScaleSheetLayoutView="50" workbookViewId="0">
      <selection activeCell="E3" sqref="E3"/>
    </sheetView>
  </sheetViews>
  <sheetFormatPr baseColWidth="10" defaultRowHeight="15" x14ac:dyDescent="0.2"/>
  <cols>
    <col min="1" max="1" width="3.1640625" customWidth="1"/>
    <col min="2" max="2" width="10.83203125" customWidth="1"/>
    <col min="3" max="3" width="9.5" customWidth="1"/>
    <col min="4" max="4" width="12.5" customWidth="1"/>
    <col min="5" max="5" width="55.33203125" customWidth="1"/>
  </cols>
  <sheetData>
    <row r="1" spans="2:5" x14ac:dyDescent="0.2">
      <c r="E1" s="92"/>
    </row>
    <row r="2" spans="2:5" x14ac:dyDescent="0.2">
      <c r="E2" s="92"/>
    </row>
    <row r="3" spans="2:5" x14ac:dyDescent="0.2">
      <c r="C3" s="92"/>
      <c r="D3" s="92"/>
      <c r="E3" s="92"/>
    </row>
    <row r="4" spans="2:5" x14ac:dyDescent="0.2">
      <c r="B4" s="51" t="s">
        <v>60</v>
      </c>
      <c r="C4" s="51">
        <f>COUNTA(Tableau3[Dépenses de santé par habitants])</f>
        <v>38</v>
      </c>
      <c r="D4" s="93"/>
      <c r="E4" s="92" t="s">
        <v>70</v>
      </c>
    </row>
    <row r="5" spans="2:5" x14ac:dyDescent="0.2">
      <c r="B5" s="51" t="s">
        <v>54</v>
      </c>
      <c r="C5" s="52">
        <f>AVERAGE(Tableau3[Dépenses de santé par habitants])</f>
        <v>3885.048210526315</v>
      </c>
      <c r="D5" s="94"/>
      <c r="E5" s="92"/>
    </row>
    <row r="6" spans="2:5" x14ac:dyDescent="0.2">
      <c r="B6" s="51" t="s">
        <v>55</v>
      </c>
      <c r="C6" s="52">
        <f>MEDIAN((Tableau3[]))</f>
        <v>3567.3644999999997</v>
      </c>
      <c r="D6" s="94"/>
      <c r="E6" s="92"/>
    </row>
    <row r="7" spans="2:5" x14ac:dyDescent="0.2">
      <c r="B7" s="51" t="s">
        <v>59</v>
      </c>
      <c r="C7" s="52">
        <v>0</v>
      </c>
      <c r="D7" s="94"/>
      <c r="E7" s="92" t="s">
        <v>78</v>
      </c>
    </row>
    <row r="8" spans="2:5" x14ac:dyDescent="0.2">
      <c r="B8" s="51" t="s">
        <v>57</v>
      </c>
      <c r="C8" s="52">
        <f>+_xlfn.STDEV.S(Tableau3[])</f>
        <v>1733.726507952696</v>
      </c>
      <c r="D8" s="94"/>
      <c r="E8" s="92" t="s">
        <v>71</v>
      </c>
    </row>
    <row r="9" spans="2:5" x14ac:dyDescent="0.2">
      <c r="B9" s="51" t="s">
        <v>56</v>
      </c>
      <c r="C9" s="51">
        <f>_xlfn.VAR.S(Tableau3[#All])</f>
        <v>3005807.6043778495</v>
      </c>
      <c r="D9" s="94"/>
      <c r="E9" s="92"/>
    </row>
    <row r="10" spans="2:5" x14ac:dyDescent="0.2">
      <c r="B10" s="51" t="s">
        <v>61</v>
      </c>
      <c r="C10" s="52">
        <f>MIN(Tableau3[])</f>
        <v>1036.546</v>
      </c>
      <c r="D10" s="94"/>
      <c r="E10" s="92"/>
    </row>
    <row r="11" spans="2:5" x14ac:dyDescent="0.2">
      <c r="B11" s="51" t="s">
        <v>62</v>
      </c>
      <c r="C11" s="52">
        <f>MAX(Tableau3[])</f>
        <v>9776.4570000000003</v>
      </c>
      <c r="D11" s="94"/>
      <c r="E11" s="92"/>
    </row>
    <row r="12" spans="2:5" x14ac:dyDescent="0.2">
      <c r="B12" s="51" t="s">
        <v>58</v>
      </c>
      <c r="C12" s="52">
        <f>MAX(Tableau3[])-MIN(Tableau3[])</f>
        <v>8739.9110000000001</v>
      </c>
      <c r="D12" s="94"/>
      <c r="E12" s="92"/>
    </row>
    <row r="13" spans="2:5" x14ac:dyDescent="0.2">
      <c r="B13" s="51" t="s">
        <v>63</v>
      </c>
      <c r="C13" s="52">
        <f>STDEV(Tableau3[])/AVERAGE(Tableau3[])</f>
        <v>0.44625611163724138</v>
      </c>
      <c r="D13" s="94"/>
      <c r="E13" s="92"/>
    </row>
    <row r="14" spans="2:5" x14ac:dyDescent="0.2">
      <c r="B14" s="51" t="s">
        <v>64</v>
      </c>
      <c r="C14" s="52">
        <f>_xlfn.QUARTILE.INC(Tableau3[],1)</f>
        <v>2559.2107500000002</v>
      </c>
      <c r="D14" s="94"/>
      <c r="E14" s="92"/>
    </row>
    <row r="15" spans="2:5" x14ac:dyDescent="0.2">
      <c r="B15" s="51" t="s">
        <v>65</v>
      </c>
      <c r="C15" s="52">
        <f>_xlfn.QUARTILE.INC(Tableau3[],2)</f>
        <v>3567.3644999999997</v>
      </c>
      <c r="D15" s="94"/>
      <c r="E15" s="92"/>
    </row>
    <row r="16" spans="2:5" x14ac:dyDescent="0.2">
      <c r="B16" s="51" t="s">
        <v>66</v>
      </c>
      <c r="C16" s="52">
        <f>_xlfn.QUARTILE.INC(Tableau3[],3)</f>
        <v>4987.6124999999993</v>
      </c>
      <c r="D16" s="94"/>
      <c r="E16" s="92"/>
    </row>
    <row r="17" spans="2:5" ht="16" x14ac:dyDescent="0.2">
      <c r="B17" s="51" t="s">
        <v>67</v>
      </c>
      <c r="C17" s="52">
        <f>SKEW(Tableau3[])</f>
        <v>0.91467176100323688</v>
      </c>
      <c r="D17" s="94"/>
      <c r="E17" s="96" t="s">
        <v>75</v>
      </c>
    </row>
    <row r="18" spans="2:5" x14ac:dyDescent="0.2">
      <c r="B18" s="51" t="s">
        <v>68</v>
      </c>
      <c r="C18" s="52">
        <f>KURT(Tableau3[])</f>
        <v>2.1807521505825154</v>
      </c>
      <c r="D18" s="94"/>
      <c r="E18" s="92" t="s">
        <v>79</v>
      </c>
    </row>
    <row r="19" spans="2:5" ht="64" customHeight="1" x14ac:dyDescent="0.2">
      <c r="B19" s="51" t="s">
        <v>69</v>
      </c>
      <c r="C19" s="52">
        <f>C16-C14</f>
        <v>2428.4017499999991</v>
      </c>
      <c r="D19" s="94"/>
      <c r="E19" s="95" t="s">
        <v>72</v>
      </c>
    </row>
    <row r="20" spans="2:5" ht="32" x14ac:dyDescent="0.2">
      <c r="B20" s="53" t="s">
        <v>73</v>
      </c>
      <c r="C20" s="52">
        <f>C14-1.5*C19</f>
        <v>-1083.3918749999984</v>
      </c>
      <c r="D20" s="94"/>
      <c r="E20" s="93"/>
    </row>
    <row r="21" spans="2:5" ht="32" x14ac:dyDescent="0.2">
      <c r="B21" s="53" t="s">
        <v>74</v>
      </c>
      <c r="C21" s="51">
        <f>C16+1.5*C19</f>
        <v>8630.2151249999988</v>
      </c>
      <c r="D21" s="93"/>
      <c r="E21" s="95" t="s">
        <v>76</v>
      </c>
    </row>
    <row r="22" spans="2:5" x14ac:dyDescent="0.2">
      <c r="C22" s="92"/>
      <c r="D22" s="92"/>
      <c r="E22" s="92"/>
    </row>
    <row r="23" spans="2:5" x14ac:dyDescent="0.2">
      <c r="B23" s="100" t="s">
        <v>77</v>
      </c>
      <c r="C23" s="100"/>
      <c r="D23" s="101" t="s">
        <v>80</v>
      </c>
      <c r="E23" s="101"/>
    </row>
    <row r="24" spans="2:5" x14ac:dyDescent="0.2">
      <c r="B24" s="100"/>
      <c r="C24" s="100"/>
      <c r="D24" s="101"/>
      <c r="E24" s="101"/>
    </row>
    <row r="25" spans="2:5" x14ac:dyDescent="0.2">
      <c r="B25" s="100"/>
      <c r="C25" s="100"/>
      <c r="D25" s="101"/>
      <c r="E25" s="101"/>
    </row>
    <row r="26" spans="2:5" x14ac:dyDescent="0.2">
      <c r="B26" s="100"/>
      <c r="C26" s="100"/>
      <c r="D26" s="101"/>
      <c r="E26" s="101"/>
    </row>
    <row r="27" spans="2:5" x14ac:dyDescent="0.2">
      <c r="B27" s="97"/>
      <c r="C27" s="97"/>
      <c r="D27" s="101"/>
      <c r="E27" s="101"/>
    </row>
    <row r="28" spans="2:5" x14ac:dyDescent="0.2">
      <c r="B28" s="97"/>
      <c r="C28" s="97"/>
      <c r="D28" s="97"/>
      <c r="E28" s="92"/>
    </row>
    <row r="29" spans="2:5" x14ac:dyDescent="0.2">
      <c r="B29" s="97"/>
      <c r="C29" s="97"/>
      <c r="D29" s="97"/>
      <c r="E29" s="92"/>
    </row>
    <row r="30" spans="2:5" x14ac:dyDescent="0.2">
      <c r="E30" s="92"/>
    </row>
    <row r="31" spans="2:5" x14ac:dyDescent="0.2">
      <c r="E31" s="92"/>
    </row>
    <row r="32" spans="2:5" x14ac:dyDescent="0.2">
      <c r="E32" s="92"/>
    </row>
    <row r="33" spans="5:5" x14ac:dyDescent="0.2">
      <c r="E33" s="92"/>
    </row>
    <row r="34" spans="5:5" x14ac:dyDescent="0.2">
      <c r="E34" s="92"/>
    </row>
    <row r="35" spans="5:5" x14ac:dyDescent="0.2">
      <c r="E35" s="92"/>
    </row>
    <row r="36" spans="5:5" x14ac:dyDescent="0.2">
      <c r="E36" s="92"/>
    </row>
    <row r="37" spans="5:5" x14ac:dyDescent="0.2">
      <c r="E37" s="92"/>
    </row>
    <row r="38" spans="5:5" x14ac:dyDescent="0.2">
      <c r="E38" s="92"/>
    </row>
    <row r="39" spans="5:5" x14ac:dyDescent="0.2">
      <c r="E39" s="92"/>
    </row>
    <row r="40" spans="5:5" x14ac:dyDescent="0.2">
      <c r="E40" s="92"/>
    </row>
    <row r="41" spans="5:5" x14ac:dyDescent="0.2">
      <c r="E41" s="92"/>
    </row>
    <row r="42" spans="5:5" x14ac:dyDescent="0.2">
      <c r="E42" s="92"/>
    </row>
    <row r="43" spans="5:5" x14ac:dyDescent="0.2">
      <c r="E43" s="92"/>
    </row>
    <row r="44" spans="5:5" x14ac:dyDescent="0.2">
      <c r="E44" s="92"/>
    </row>
    <row r="45" spans="5:5" x14ac:dyDescent="0.2">
      <c r="E45" s="92"/>
    </row>
  </sheetData>
  <mergeCells count="2">
    <mergeCell ref="B23:C26"/>
    <mergeCell ref="D23:E27"/>
  </mergeCells>
  <pageMargins left="0.27777777777777779" right="0.27777777777777779" top="0.75" bottom="0.75" header="0.3" footer="0.3"/>
  <pageSetup paperSize="9" orientation="portrait" horizontalDpi="0" verticalDpi="0"/>
  <headerFooter>
    <oddHeader>&amp;C&amp;"Calibri Light (En-têtes),Gras"&amp;22&amp;UStatistiques descriptives</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F4C52-C72D-A945-8696-6CF66ABEEFFF}">
  <dimension ref="B1:E1"/>
  <sheetViews>
    <sheetView tabSelected="1" view="pageLayout" zoomScaleNormal="62" zoomScaleSheetLayoutView="50" workbookViewId="0">
      <selection activeCell="S24" sqref="S24"/>
    </sheetView>
  </sheetViews>
  <sheetFormatPr baseColWidth="10" defaultRowHeight="15" x14ac:dyDescent="0.2"/>
  <cols>
    <col min="1" max="1" width="33.33203125" customWidth="1"/>
    <col min="2" max="2" width="0.1640625" hidden="1" customWidth="1"/>
    <col min="3" max="3" width="1.83203125" hidden="1" customWidth="1"/>
    <col min="4" max="4" width="11.33203125" hidden="1" customWidth="1"/>
    <col min="5" max="5" width="0.1640625" hidden="1" customWidth="1"/>
    <col min="10" max="10" width="14.5" customWidth="1"/>
  </cols>
  <sheetData/>
  <pageMargins left="0.27777777777777779" right="0.19444444444444445" top="0.75" bottom="0.75" header="0.3" footer="0.3"/>
  <pageSetup paperSize="9" orientation="portrait" horizontalDpi="0" verticalDpi="0"/>
  <headerFooter>
    <oddHeader>&amp;C&amp;"Calibri Light (En-têtes),Gras"&amp;22&amp;U&amp;K000000Graphiques</oddHeader>
  </headerFooter>
  <rowBreaks count="1" manualBreakCount="1">
    <brk id="664" max="16383"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624"/>
  <sheetViews>
    <sheetView view="pageLayout" zoomScaleNormal="100" zoomScaleSheetLayoutView="50" workbookViewId="0">
      <selection activeCell="E3" sqref="E3"/>
    </sheetView>
  </sheetViews>
  <sheetFormatPr baseColWidth="10" defaultRowHeight="15" x14ac:dyDescent="0.2"/>
  <cols>
    <col min="1" max="1" width="4.83203125" customWidth="1"/>
    <col min="2" max="2" width="83.5" style="6" customWidth="1"/>
    <col min="5" max="5" width="55.33203125" customWidth="1"/>
  </cols>
  <sheetData>
    <row r="1" spans="2:2" ht="16" x14ac:dyDescent="0.2">
      <c r="B1" s="7" t="s">
        <v>0</v>
      </c>
    </row>
    <row r="2" spans="2:2" ht="208" x14ac:dyDescent="0.2">
      <c r="B2" s="6" t="s">
        <v>43</v>
      </c>
    </row>
    <row r="5" spans="2:2" ht="39.75" customHeight="1" x14ac:dyDescent="0.2">
      <c r="B5" s="6" t="s">
        <v>44</v>
      </c>
    </row>
    <row r="7" spans="2:2" ht="16" x14ac:dyDescent="0.2">
      <c r="B7" s="6" t="s">
        <v>45</v>
      </c>
    </row>
    <row r="8" spans="2:2" ht="16" x14ac:dyDescent="0.2">
      <c r="B8" s="6" t="s">
        <v>46</v>
      </c>
    </row>
    <row r="11" spans="2:2" ht="16" x14ac:dyDescent="0.2">
      <c r="B11" s="8" t="s">
        <v>47</v>
      </c>
    </row>
    <row r="12" spans="2:2" ht="16" x14ac:dyDescent="0.2">
      <c r="B12" s="9" t="s">
        <v>48</v>
      </c>
    </row>
    <row r="13" spans="2:2" ht="16" x14ac:dyDescent="0.2">
      <c r="B13" s="10" t="s">
        <v>49</v>
      </c>
    </row>
    <row r="14" spans="2:2" ht="16" x14ac:dyDescent="0.2">
      <c r="B14" s="11" t="s">
        <v>50</v>
      </c>
    </row>
    <row r="15" spans="2:2" ht="16" x14ac:dyDescent="0.2">
      <c r="B15" s="12" t="s">
        <v>51</v>
      </c>
    </row>
    <row r="46" spans="2:2" x14ac:dyDescent="0.2">
      <c r="B46"/>
    </row>
    <row r="47" spans="2:2" x14ac:dyDescent="0.2">
      <c r="B47"/>
    </row>
    <row r="48" spans="2:2" x14ac:dyDescent="0.2">
      <c r="B48"/>
    </row>
    <row r="49" spans="2:2" x14ac:dyDescent="0.2">
      <c r="B49"/>
    </row>
    <row r="50" spans="2:2" x14ac:dyDescent="0.2">
      <c r="B50"/>
    </row>
    <row r="51" spans="2:2" x14ac:dyDescent="0.2">
      <c r="B51"/>
    </row>
    <row r="52" spans="2:2" x14ac:dyDescent="0.2">
      <c r="B52"/>
    </row>
    <row r="53" spans="2:2" x14ac:dyDescent="0.2">
      <c r="B53"/>
    </row>
    <row r="54" spans="2:2" x14ac:dyDescent="0.2">
      <c r="B54"/>
    </row>
    <row r="55" spans="2:2" x14ac:dyDescent="0.2">
      <c r="B55"/>
    </row>
    <row r="56" spans="2:2" x14ac:dyDescent="0.2">
      <c r="B56"/>
    </row>
    <row r="57" spans="2:2" x14ac:dyDescent="0.2">
      <c r="B57"/>
    </row>
    <row r="58" spans="2:2" x14ac:dyDescent="0.2">
      <c r="B58"/>
    </row>
    <row r="59" spans="2:2" x14ac:dyDescent="0.2">
      <c r="B59"/>
    </row>
    <row r="60" spans="2:2" x14ac:dyDescent="0.2">
      <c r="B60"/>
    </row>
    <row r="61" spans="2:2" x14ac:dyDescent="0.2">
      <c r="B61"/>
    </row>
    <row r="62" spans="2:2" x14ac:dyDescent="0.2">
      <c r="B62"/>
    </row>
    <row r="63" spans="2:2" x14ac:dyDescent="0.2">
      <c r="B63"/>
    </row>
    <row r="64" spans="2:2" x14ac:dyDescent="0.2">
      <c r="B64"/>
    </row>
    <row r="65" spans="2:2" x14ac:dyDescent="0.2">
      <c r="B65"/>
    </row>
    <row r="66" spans="2:2" x14ac:dyDescent="0.2">
      <c r="B66"/>
    </row>
    <row r="67" spans="2:2" x14ac:dyDescent="0.2">
      <c r="B67"/>
    </row>
    <row r="68" spans="2:2" x14ac:dyDescent="0.2">
      <c r="B68"/>
    </row>
    <row r="69" spans="2:2" x14ac:dyDescent="0.2">
      <c r="B69"/>
    </row>
    <row r="70" spans="2:2" x14ac:dyDescent="0.2">
      <c r="B70"/>
    </row>
    <row r="71" spans="2:2" x14ac:dyDescent="0.2">
      <c r="B71"/>
    </row>
    <row r="72" spans="2:2" x14ac:dyDescent="0.2">
      <c r="B72"/>
    </row>
    <row r="73" spans="2:2" x14ac:dyDescent="0.2">
      <c r="B73"/>
    </row>
    <row r="74" spans="2:2" x14ac:dyDescent="0.2">
      <c r="B74"/>
    </row>
    <row r="75" spans="2:2" x14ac:dyDescent="0.2">
      <c r="B75"/>
    </row>
    <row r="76" spans="2:2" x14ac:dyDescent="0.2">
      <c r="B76"/>
    </row>
    <row r="77" spans="2:2" x14ac:dyDescent="0.2">
      <c r="B77"/>
    </row>
    <row r="78" spans="2:2" x14ac:dyDescent="0.2">
      <c r="B78"/>
    </row>
    <row r="79" spans="2:2" x14ac:dyDescent="0.2">
      <c r="B79"/>
    </row>
    <row r="80" spans="2:2" x14ac:dyDescent="0.2">
      <c r="B80"/>
    </row>
    <row r="81" spans="2:2" x14ac:dyDescent="0.2">
      <c r="B81"/>
    </row>
    <row r="82" spans="2:2" x14ac:dyDescent="0.2">
      <c r="B82"/>
    </row>
    <row r="83" spans="2:2" x14ac:dyDescent="0.2">
      <c r="B83"/>
    </row>
    <row r="84" spans="2:2" x14ac:dyDescent="0.2">
      <c r="B84"/>
    </row>
    <row r="85" spans="2:2" x14ac:dyDescent="0.2">
      <c r="B85"/>
    </row>
    <row r="86" spans="2:2" x14ac:dyDescent="0.2">
      <c r="B86"/>
    </row>
    <row r="87" spans="2:2" x14ac:dyDescent="0.2">
      <c r="B87"/>
    </row>
    <row r="88" spans="2:2" x14ac:dyDescent="0.2">
      <c r="B88"/>
    </row>
    <row r="89" spans="2:2" x14ac:dyDescent="0.2">
      <c r="B89"/>
    </row>
    <row r="90" spans="2:2" x14ac:dyDescent="0.2">
      <c r="B90"/>
    </row>
    <row r="91" spans="2:2" x14ac:dyDescent="0.2">
      <c r="B91"/>
    </row>
    <row r="92" spans="2:2" x14ac:dyDescent="0.2">
      <c r="B92"/>
    </row>
    <row r="93" spans="2:2" x14ac:dyDescent="0.2">
      <c r="B93"/>
    </row>
    <row r="94" spans="2:2" x14ac:dyDescent="0.2">
      <c r="B94"/>
    </row>
    <row r="95" spans="2:2" x14ac:dyDescent="0.2">
      <c r="B95"/>
    </row>
    <row r="96" spans="2:2" x14ac:dyDescent="0.2">
      <c r="B96"/>
    </row>
    <row r="97" spans="2:2" x14ac:dyDescent="0.2">
      <c r="B97"/>
    </row>
    <row r="98" spans="2:2" x14ac:dyDescent="0.2">
      <c r="B98"/>
    </row>
    <row r="99" spans="2:2" x14ac:dyDescent="0.2">
      <c r="B99"/>
    </row>
    <row r="100" spans="2:2" x14ac:dyDescent="0.2">
      <c r="B100"/>
    </row>
    <row r="101" spans="2:2" x14ac:dyDescent="0.2">
      <c r="B101"/>
    </row>
    <row r="102" spans="2:2" x14ac:dyDescent="0.2">
      <c r="B102"/>
    </row>
    <row r="103" spans="2:2" x14ac:dyDescent="0.2">
      <c r="B103"/>
    </row>
    <row r="104" spans="2:2" x14ac:dyDescent="0.2">
      <c r="B104"/>
    </row>
    <row r="105" spans="2:2" x14ac:dyDescent="0.2">
      <c r="B105"/>
    </row>
    <row r="106" spans="2:2" x14ac:dyDescent="0.2">
      <c r="B106"/>
    </row>
    <row r="107" spans="2:2" x14ac:dyDescent="0.2">
      <c r="B107"/>
    </row>
    <row r="108" spans="2:2" x14ac:dyDescent="0.2">
      <c r="B108"/>
    </row>
    <row r="109" spans="2:2" x14ac:dyDescent="0.2">
      <c r="B109"/>
    </row>
    <row r="110" spans="2:2" x14ac:dyDescent="0.2">
      <c r="B110"/>
    </row>
    <row r="111" spans="2:2" x14ac:dyDescent="0.2">
      <c r="B111"/>
    </row>
    <row r="112" spans="2:2" x14ac:dyDescent="0.2">
      <c r="B112"/>
    </row>
    <row r="113" spans="2:2" x14ac:dyDescent="0.2">
      <c r="B113"/>
    </row>
    <row r="114" spans="2:2" x14ac:dyDescent="0.2">
      <c r="B114"/>
    </row>
    <row r="115" spans="2:2" x14ac:dyDescent="0.2">
      <c r="B115"/>
    </row>
    <row r="116" spans="2:2" x14ac:dyDescent="0.2">
      <c r="B116"/>
    </row>
    <row r="117" spans="2:2" x14ac:dyDescent="0.2">
      <c r="B117"/>
    </row>
    <row r="118" spans="2:2" x14ac:dyDescent="0.2">
      <c r="B118"/>
    </row>
    <row r="119" spans="2:2" x14ac:dyDescent="0.2">
      <c r="B119"/>
    </row>
    <row r="120" spans="2:2" x14ac:dyDescent="0.2">
      <c r="B120"/>
    </row>
    <row r="121" spans="2:2" x14ac:dyDescent="0.2">
      <c r="B121"/>
    </row>
    <row r="122" spans="2:2" x14ac:dyDescent="0.2">
      <c r="B122"/>
    </row>
    <row r="123" spans="2:2" x14ac:dyDescent="0.2">
      <c r="B123"/>
    </row>
    <row r="124" spans="2:2" x14ac:dyDescent="0.2">
      <c r="B124"/>
    </row>
    <row r="125" spans="2:2" x14ac:dyDescent="0.2">
      <c r="B125"/>
    </row>
    <row r="126" spans="2:2" x14ac:dyDescent="0.2">
      <c r="B126"/>
    </row>
    <row r="127" spans="2:2" x14ac:dyDescent="0.2">
      <c r="B127"/>
    </row>
    <row r="128" spans="2:2" x14ac:dyDescent="0.2">
      <c r="B128"/>
    </row>
    <row r="129" spans="2:2" x14ac:dyDescent="0.2">
      <c r="B129"/>
    </row>
    <row r="130" spans="2:2" x14ac:dyDescent="0.2">
      <c r="B130"/>
    </row>
    <row r="131" spans="2:2" x14ac:dyDescent="0.2">
      <c r="B131"/>
    </row>
    <row r="132" spans="2:2" x14ac:dyDescent="0.2">
      <c r="B132"/>
    </row>
    <row r="133" spans="2:2" x14ac:dyDescent="0.2">
      <c r="B133"/>
    </row>
    <row r="134" spans="2:2" x14ac:dyDescent="0.2">
      <c r="B134"/>
    </row>
    <row r="135" spans="2:2" x14ac:dyDescent="0.2">
      <c r="B135"/>
    </row>
    <row r="136" spans="2:2" x14ac:dyDescent="0.2">
      <c r="B136"/>
    </row>
    <row r="137" spans="2:2" x14ac:dyDescent="0.2">
      <c r="B137"/>
    </row>
    <row r="138" spans="2:2" x14ac:dyDescent="0.2">
      <c r="B138"/>
    </row>
    <row r="139" spans="2:2" x14ac:dyDescent="0.2">
      <c r="B139"/>
    </row>
    <row r="140" spans="2:2" x14ac:dyDescent="0.2">
      <c r="B140"/>
    </row>
    <row r="141" spans="2:2" x14ac:dyDescent="0.2">
      <c r="B141"/>
    </row>
    <row r="142" spans="2:2" x14ac:dyDescent="0.2">
      <c r="B142"/>
    </row>
    <row r="143" spans="2:2" x14ac:dyDescent="0.2">
      <c r="B143"/>
    </row>
    <row r="144" spans="2:2" x14ac:dyDescent="0.2">
      <c r="B144"/>
    </row>
    <row r="145" spans="2:2" x14ac:dyDescent="0.2">
      <c r="B145"/>
    </row>
    <row r="146" spans="2:2" x14ac:dyDescent="0.2">
      <c r="B146"/>
    </row>
    <row r="147" spans="2:2" x14ac:dyDescent="0.2">
      <c r="B147"/>
    </row>
    <row r="148" spans="2:2" x14ac:dyDescent="0.2">
      <c r="B148"/>
    </row>
    <row r="149" spans="2:2" x14ac:dyDescent="0.2">
      <c r="B149"/>
    </row>
    <row r="150" spans="2:2" x14ac:dyDescent="0.2">
      <c r="B150"/>
    </row>
    <row r="151" spans="2:2" x14ac:dyDescent="0.2">
      <c r="B151"/>
    </row>
    <row r="152" spans="2:2" x14ac:dyDescent="0.2">
      <c r="B152"/>
    </row>
    <row r="153" spans="2:2" x14ac:dyDescent="0.2">
      <c r="B153"/>
    </row>
    <row r="154" spans="2:2" x14ac:dyDescent="0.2">
      <c r="B154"/>
    </row>
    <row r="155" spans="2:2" x14ac:dyDescent="0.2">
      <c r="B155"/>
    </row>
    <row r="156" spans="2:2" x14ac:dyDescent="0.2">
      <c r="B156"/>
    </row>
    <row r="157" spans="2:2" x14ac:dyDescent="0.2">
      <c r="B157"/>
    </row>
    <row r="158" spans="2:2" x14ac:dyDescent="0.2">
      <c r="B158"/>
    </row>
    <row r="159" spans="2:2" x14ac:dyDescent="0.2">
      <c r="B159"/>
    </row>
    <row r="160" spans="2:2" x14ac:dyDescent="0.2">
      <c r="B160"/>
    </row>
    <row r="161" spans="2:2" x14ac:dyDescent="0.2">
      <c r="B161"/>
    </row>
    <row r="162" spans="2:2" x14ac:dyDescent="0.2">
      <c r="B162"/>
    </row>
    <row r="163" spans="2:2" x14ac:dyDescent="0.2">
      <c r="B163"/>
    </row>
    <row r="164" spans="2:2" x14ac:dyDescent="0.2">
      <c r="B164"/>
    </row>
    <row r="165" spans="2:2" x14ac:dyDescent="0.2">
      <c r="B165"/>
    </row>
    <row r="166" spans="2:2" x14ac:dyDescent="0.2">
      <c r="B166"/>
    </row>
    <row r="167" spans="2:2" x14ac:dyDescent="0.2">
      <c r="B167"/>
    </row>
    <row r="168" spans="2:2" x14ac:dyDescent="0.2">
      <c r="B168"/>
    </row>
    <row r="169" spans="2:2" x14ac:dyDescent="0.2">
      <c r="B169"/>
    </row>
    <row r="170" spans="2:2" x14ac:dyDescent="0.2">
      <c r="B170"/>
    </row>
    <row r="171" spans="2:2" x14ac:dyDescent="0.2">
      <c r="B171"/>
    </row>
    <row r="172" spans="2:2" x14ac:dyDescent="0.2">
      <c r="B172"/>
    </row>
    <row r="173" spans="2:2" x14ac:dyDescent="0.2">
      <c r="B173"/>
    </row>
    <row r="174" spans="2:2" x14ac:dyDescent="0.2">
      <c r="B174"/>
    </row>
    <row r="175" spans="2:2" x14ac:dyDescent="0.2">
      <c r="B175"/>
    </row>
    <row r="176" spans="2:2" x14ac:dyDescent="0.2">
      <c r="B176"/>
    </row>
    <row r="177" spans="2:2" x14ac:dyDescent="0.2">
      <c r="B177"/>
    </row>
    <row r="178" spans="2:2" x14ac:dyDescent="0.2">
      <c r="B178"/>
    </row>
    <row r="179" spans="2:2" x14ac:dyDescent="0.2">
      <c r="B179"/>
    </row>
    <row r="180" spans="2:2" x14ac:dyDescent="0.2">
      <c r="B180"/>
    </row>
    <row r="181" spans="2:2" x14ac:dyDescent="0.2">
      <c r="B181"/>
    </row>
    <row r="182" spans="2:2" x14ac:dyDescent="0.2">
      <c r="B182"/>
    </row>
    <row r="183" spans="2:2" x14ac:dyDescent="0.2">
      <c r="B183"/>
    </row>
    <row r="184" spans="2:2" x14ac:dyDescent="0.2">
      <c r="B184"/>
    </row>
    <row r="185" spans="2:2" x14ac:dyDescent="0.2">
      <c r="B185"/>
    </row>
    <row r="186" spans="2:2" x14ac:dyDescent="0.2">
      <c r="B186"/>
    </row>
    <row r="187" spans="2:2" x14ac:dyDescent="0.2">
      <c r="B187"/>
    </row>
    <row r="188" spans="2:2" x14ac:dyDescent="0.2">
      <c r="B188"/>
    </row>
    <row r="189" spans="2:2" x14ac:dyDescent="0.2">
      <c r="B189"/>
    </row>
    <row r="190" spans="2:2" x14ac:dyDescent="0.2">
      <c r="B190"/>
    </row>
    <row r="191" spans="2:2" x14ac:dyDescent="0.2">
      <c r="B191"/>
    </row>
    <row r="192" spans="2: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row r="236" spans="2:2" x14ac:dyDescent="0.2">
      <c r="B236"/>
    </row>
    <row r="237" spans="2:2" x14ac:dyDescent="0.2">
      <c r="B237"/>
    </row>
    <row r="238" spans="2:2" x14ac:dyDescent="0.2">
      <c r="B238"/>
    </row>
    <row r="239" spans="2:2" x14ac:dyDescent="0.2">
      <c r="B239"/>
    </row>
    <row r="240" spans="2:2" x14ac:dyDescent="0.2">
      <c r="B240"/>
    </row>
    <row r="241" spans="2:2" x14ac:dyDescent="0.2">
      <c r="B241"/>
    </row>
    <row r="242" spans="2:2" x14ac:dyDescent="0.2">
      <c r="B242"/>
    </row>
    <row r="243" spans="2:2" x14ac:dyDescent="0.2">
      <c r="B243"/>
    </row>
    <row r="244" spans="2:2" x14ac:dyDescent="0.2">
      <c r="B244"/>
    </row>
    <row r="245" spans="2:2" x14ac:dyDescent="0.2">
      <c r="B245"/>
    </row>
    <row r="246" spans="2:2" x14ac:dyDescent="0.2">
      <c r="B246"/>
    </row>
    <row r="247" spans="2:2" x14ac:dyDescent="0.2">
      <c r="B247"/>
    </row>
    <row r="248" spans="2:2" x14ac:dyDescent="0.2">
      <c r="B248"/>
    </row>
    <row r="249" spans="2:2" x14ac:dyDescent="0.2">
      <c r="B249"/>
    </row>
    <row r="250" spans="2:2" x14ac:dyDescent="0.2">
      <c r="B250"/>
    </row>
    <row r="251" spans="2:2" x14ac:dyDescent="0.2">
      <c r="B251"/>
    </row>
    <row r="252" spans="2:2" x14ac:dyDescent="0.2">
      <c r="B252"/>
    </row>
    <row r="253" spans="2:2" x14ac:dyDescent="0.2">
      <c r="B253"/>
    </row>
    <row r="254" spans="2:2" x14ac:dyDescent="0.2">
      <c r="B254"/>
    </row>
    <row r="255" spans="2:2" x14ac:dyDescent="0.2">
      <c r="B255"/>
    </row>
    <row r="256" spans="2:2" x14ac:dyDescent="0.2">
      <c r="B256"/>
    </row>
    <row r="257" spans="2:2" x14ac:dyDescent="0.2">
      <c r="B257"/>
    </row>
    <row r="258" spans="2:2" x14ac:dyDescent="0.2">
      <c r="B258"/>
    </row>
    <row r="259" spans="2:2" x14ac:dyDescent="0.2">
      <c r="B259"/>
    </row>
    <row r="260" spans="2:2" x14ac:dyDescent="0.2">
      <c r="B260"/>
    </row>
    <row r="261" spans="2:2" x14ac:dyDescent="0.2">
      <c r="B261"/>
    </row>
    <row r="262" spans="2:2" x14ac:dyDescent="0.2">
      <c r="B262"/>
    </row>
    <row r="263" spans="2:2" x14ac:dyDescent="0.2">
      <c r="B263"/>
    </row>
    <row r="264" spans="2:2" x14ac:dyDescent="0.2">
      <c r="B264"/>
    </row>
    <row r="265" spans="2:2" x14ac:dyDescent="0.2">
      <c r="B265"/>
    </row>
    <row r="266" spans="2:2" x14ac:dyDescent="0.2">
      <c r="B266"/>
    </row>
    <row r="267" spans="2:2" x14ac:dyDescent="0.2">
      <c r="B267"/>
    </row>
    <row r="268" spans="2:2" x14ac:dyDescent="0.2">
      <c r="B268"/>
    </row>
    <row r="269" spans="2:2" x14ac:dyDescent="0.2">
      <c r="B269"/>
    </row>
    <row r="270" spans="2:2" x14ac:dyDescent="0.2">
      <c r="B270"/>
    </row>
    <row r="271" spans="2:2" x14ac:dyDescent="0.2">
      <c r="B271"/>
    </row>
    <row r="272" spans="2:2" x14ac:dyDescent="0.2">
      <c r="B272"/>
    </row>
    <row r="273" spans="2:2" x14ac:dyDescent="0.2">
      <c r="B273"/>
    </row>
    <row r="274" spans="2:2" x14ac:dyDescent="0.2">
      <c r="B274"/>
    </row>
    <row r="275" spans="2:2" x14ac:dyDescent="0.2">
      <c r="B275"/>
    </row>
    <row r="276" spans="2:2" x14ac:dyDescent="0.2">
      <c r="B276"/>
    </row>
    <row r="277" spans="2:2" x14ac:dyDescent="0.2">
      <c r="B277"/>
    </row>
    <row r="278" spans="2:2" x14ac:dyDescent="0.2">
      <c r="B278"/>
    </row>
    <row r="279" spans="2:2" x14ac:dyDescent="0.2">
      <c r="B279"/>
    </row>
    <row r="280" spans="2:2" x14ac:dyDescent="0.2">
      <c r="B280"/>
    </row>
    <row r="281" spans="2:2" x14ac:dyDescent="0.2">
      <c r="B281"/>
    </row>
    <row r="282" spans="2:2" x14ac:dyDescent="0.2">
      <c r="B282"/>
    </row>
    <row r="283" spans="2:2" x14ac:dyDescent="0.2">
      <c r="B283"/>
    </row>
    <row r="284" spans="2:2" x14ac:dyDescent="0.2">
      <c r="B284"/>
    </row>
    <row r="285" spans="2:2" x14ac:dyDescent="0.2">
      <c r="B285"/>
    </row>
    <row r="286" spans="2:2" x14ac:dyDescent="0.2">
      <c r="B286"/>
    </row>
    <row r="287" spans="2:2" x14ac:dyDescent="0.2">
      <c r="B287"/>
    </row>
    <row r="288" spans="2:2"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row r="313" spans="2:2" x14ac:dyDescent="0.2">
      <c r="B313"/>
    </row>
    <row r="314" spans="2:2" x14ac:dyDescent="0.2">
      <c r="B314"/>
    </row>
    <row r="315" spans="2:2" x14ac:dyDescent="0.2">
      <c r="B315"/>
    </row>
    <row r="316" spans="2:2" x14ac:dyDescent="0.2">
      <c r="B316"/>
    </row>
    <row r="317" spans="2:2" x14ac:dyDescent="0.2">
      <c r="B317"/>
    </row>
    <row r="318" spans="2:2" x14ac:dyDescent="0.2">
      <c r="B318"/>
    </row>
    <row r="319" spans="2:2" x14ac:dyDescent="0.2">
      <c r="B319"/>
    </row>
    <row r="320" spans="2:2" x14ac:dyDescent="0.2">
      <c r="B320"/>
    </row>
    <row r="321" spans="2:2" x14ac:dyDescent="0.2">
      <c r="B321"/>
    </row>
    <row r="322" spans="2:2" x14ac:dyDescent="0.2">
      <c r="B322"/>
    </row>
    <row r="323" spans="2:2" x14ac:dyDescent="0.2">
      <c r="B323"/>
    </row>
    <row r="324" spans="2:2" x14ac:dyDescent="0.2">
      <c r="B324"/>
    </row>
    <row r="325" spans="2:2" x14ac:dyDescent="0.2">
      <c r="B325"/>
    </row>
    <row r="326" spans="2:2" x14ac:dyDescent="0.2">
      <c r="B326"/>
    </row>
    <row r="327" spans="2:2" x14ac:dyDescent="0.2">
      <c r="B327"/>
    </row>
    <row r="328" spans="2:2" x14ac:dyDescent="0.2">
      <c r="B328"/>
    </row>
    <row r="329" spans="2:2" x14ac:dyDescent="0.2">
      <c r="B329"/>
    </row>
    <row r="330" spans="2:2" x14ac:dyDescent="0.2">
      <c r="B330"/>
    </row>
    <row r="331" spans="2:2" x14ac:dyDescent="0.2">
      <c r="B331"/>
    </row>
    <row r="332" spans="2:2" x14ac:dyDescent="0.2">
      <c r="B332"/>
    </row>
    <row r="333" spans="2:2" x14ac:dyDescent="0.2">
      <c r="B333"/>
    </row>
    <row r="334" spans="2:2" x14ac:dyDescent="0.2">
      <c r="B334"/>
    </row>
    <row r="335" spans="2:2" x14ac:dyDescent="0.2">
      <c r="B335"/>
    </row>
    <row r="336" spans="2:2" x14ac:dyDescent="0.2">
      <c r="B336"/>
    </row>
    <row r="337" spans="2:2" x14ac:dyDescent="0.2">
      <c r="B337"/>
    </row>
    <row r="338" spans="2:2" x14ac:dyDescent="0.2">
      <c r="B338"/>
    </row>
    <row r="339" spans="2:2" x14ac:dyDescent="0.2">
      <c r="B339"/>
    </row>
    <row r="340" spans="2:2" x14ac:dyDescent="0.2">
      <c r="B340"/>
    </row>
    <row r="341" spans="2:2" x14ac:dyDescent="0.2">
      <c r="B341"/>
    </row>
    <row r="342" spans="2:2" x14ac:dyDescent="0.2">
      <c r="B342"/>
    </row>
    <row r="343" spans="2:2" x14ac:dyDescent="0.2">
      <c r="B343"/>
    </row>
    <row r="344" spans="2:2" x14ac:dyDescent="0.2">
      <c r="B344"/>
    </row>
    <row r="345" spans="2:2" x14ac:dyDescent="0.2">
      <c r="B345"/>
    </row>
    <row r="346" spans="2:2" x14ac:dyDescent="0.2">
      <c r="B346"/>
    </row>
    <row r="347" spans="2:2" x14ac:dyDescent="0.2">
      <c r="B347"/>
    </row>
    <row r="348" spans="2:2" x14ac:dyDescent="0.2">
      <c r="B348"/>
    </row>
    <row r="349" spans="2:2" x14ac:dyDescent="0.2">
      <c r="B349"/>
    </row>
    <row r="350" spans="2:2" x14ac:dyDescent="0.2">
      <c r="B350"/>
    </row>
    <row r="351" spans="2:2" x14ac:dyDescent="0.2">
      <c r="B351"/>
    </row>
    <row r="352" spans="2:2" x14ac:dyDescent="0.2">
      <c r="B352"/>
    </row>
    <row r="353" spans="2:2" x14ac:dyDescent="0.2">
      <c r="B353"/>
    </row>
    <row r="354" spans="2:2" x14ac:dyDescent="0.2">
      <c r="B354"/>
    </row>
    <row r="355" spans="2:2" x14ac:dyDescent="0.2">
      <c r="B355"/>
    </row>
    <row r="356" spans="2:2" x14ac:dyDescent="0.2">
      <c r="B356"/>
    </row>
    <row r="357" spans="2:2" x14ac:dyDescent="0.2">
      <c r="B357"/>
    </row>
    <row r="358" spans="2:2" x14ac:dyDescent="0.2">
      <c r="B358"/>
    </row>
    <row r="359" spans="2:2" x14ac:dyDescent="0.2">
      <c r="B359"/>
    </row>
    <row r="360" spans="2:2" x14ac:dyDescent="0.2">
      <c r="B360"/>
    </row>
    <row r="361" spans="2:2" x14ac:dyDescent="0.2">
      <c r="B361"/>
    </row>
    <row r="362" spans="2:2" x14ac:dyDescent="0.2">
      <c r="B362"/>
    </row>
    <row r="363" spans="2:2" x14ac:dyDescent="0.2">
      <c r="B363"/>
    </row>
    <row r="364" spans="2:2" x14ac:dyDescent="0.2">
      <c r="B364"/>
    </row>
    <row r="365" spans="2:2" x14ac:dyDescent="0.2">
      <c r="B365"/>
    </row>
    <row r="366" spans="2:2" x14ac:dyDescent="0.2">
      <c r="B366"/>
    </row>
    <row r="367" spans="2:2" x14ac:dyDescent="0.2">
      <c r="B367"/>
    </row>
    <row r="368" spans="2:2" x14ac:dyDescent="0.2">
      <c r="B368"/>
    </row>
    <row r="369" spans="2:2" x14ac:dyDescent="0.2">
      <c r="B369"/>
    </row>
    <row r="370" spans="2:2" x14ac:dyDescent="0.2">
      <c r="B370"/>
    </row>
    <row r="371" spans="2:2" x14ac:dyDescent="0.2">
      <c r="B371"/>
    </row>
    <row r="372" spans="2:2" x14ac:dyDescent="0.2">
      <c r="B372"/>
    </row>
    <row r="373" spans="2:2" x14ac:dyDescent="0.2">
      <c r="B373"/>
    </row>
    <row r="374" spans="2:2" x14ac:dyDescent="0.2">
      <c r="B374"/>
    </row>
    <row r="375" spans="2:2" x14ac:dyDescent="0.2">
      <c r="B375"/>
    </row>
    <row r="376" spans="2:2" x14ac:dyDescent="0.2">
      <c r="B376"/>
    </row>
    <row r="377" spans="2:2" x14ac:dyDescent="0.2">
      <c r="B377"/>
    </row>
    <row r="378" spans="2:2" x14ac:dyDescent="0.2">
      <c r="B378"/>
    </row>
    <row r="379" spans="2:2" x14ac:dyDescent="0.2">
      <c r="B379"/>
    </row>
    <row r="380" spans="2:2" x14ac:dyDescent="0.2">
      <c r="B380"/>
    </row>
    <row r="381" spans="2:2" x14ac:dyDescent="0.2">
      <c r="B381"/>
    </row>
    <row r="382" spans="2:2" x14ac:dyDescent="0.2">
      <c r="B382"/>
    </row>
    <row r="383" spans="2:2" x14ac:dyDescent="0.2">
      <c r="B383"/>
    </row>
    <row r="384" spans="2:2" x14ac:dyDescent="0.2">
      <c r="B384"/>
    </row>
    <row r="385" spans="2:2" x14ac:dyDescent="0.2">
      <c r="B385"/>
    </row>
    <row r="386" spans="2:2" x14ac:dyDescent="0.2">
      <c r="B386"/>
    </row>
    <row r="387" spans="2:2" x14ac:dyDescent="0.2">
      <c r="B387"/>
    </row>
    <row r="388" spans="2:2" x14ac:dyDescent="0.2">
      <c r="B388"/>
    </row>
    <row r="389" spans="2:2" x14ac:dyDescent="0.2">
      <c r="B389"/>
    </row>
    <row r="390" spans="2:2" x14ac:dyDescent="0.2">
      <c r="B390"/>
    </row>
    <row r="391" spans="2:2" x14ac:dyDescent="0.2">
      <c r="B391"/>
    </row>
    <row r="392" spans="2:2" x14ac:dyDescent="0.2">
      <c r="B392"/>
    </row>
    <row r="393" spans="2:2" x14ac:dyDescent="0.2">
      <c r="B393"/>
    </row>
    <row r="394" spans="2:2" x14ac:dyDescent="0.2">
      <c r="B394"/>
    </row>
    <row r="395" spans="2:2" x14ac:dyDescent="0.2">
      <c r="B395"/>
    </row>
    <row r="396" spans="2:2" x14ac:dyDescent="0.2">
      <c r="B396"/>
    </row>
    <row r="397" spans="2:2" x14ac:dyDescent="0.2">
      <c r="B397"/>
    </row>
    <row r="398" spans="2:2" x14ac:dyDescent="0.2">
      <c r="B398"/>
    </row>
    <row r="399" spans="2:2" x14ac:dyDescent="0.2">
      <c r="B399"/>
    </row>
    <row r="400" spans="2:2" x14ac:dyDescent="0.2">
      <c r="B400"/>
    </row>
    <row r="401" spans="2:2" x14ac:dyDescent="0.2">
      <c r="B401"/>
    </row>
    <row r="402" spans="2:2" x14ac:dyDescent="0.2">
      <c r="B402"/>
    </row>
    <row r="403" spans="2:2" x14ac:dyDescent="0.2">
      <c r="B403"/>
    </row>
    <row r="404" spans="2:2" x14ac:dyDescent="0.2">
      <c r="B404"/>
    </row>
    <row r="405" spans="2:2" x14ac:dyDescent="0.2">
      <c r="B405"/>
    </row>
    <row r="406" spans="2:2" x14ac:dyDescent="0.2">
      <c r="B406"/>
    </row>
    <row r="407" spans="2:2" x14ac:dyDescent="0.2">
      <c r="B407"/>
    </row>
    <row r="408" spans="2:2" x14ac:dyDescent="0.2">
      <c r="B408"/>
    </row>
    <row r="409" spans="2:2" x14ac:dyDescent="0.2">
      <c r="B409"/>
    </row>
    <row r="410" spans="2:2" x14ac:dyDescent="0.2">
      <c r="B410"/>
    </row>
    <row r="411" spans="2:2" x14ac:dyDescent="0.2">
      <c r="B411"/>
    </row>
    <row r="412" spans="2:2" x14ac:dyDescent="0.2">
      <c r="B412"/>
    </row>
    <row r="413" spans="2:2" x14ac:dyDescent="0.2">
      <c r="B413"/>
    </row>
    <row r="414" spans="2:2" x14ac:dyDescent="0.2">
      <c r="B414"/>
    </row>
    <row r="415" spans="2:2" x14ac:dyDescent="0.2">
      <c r="B415"/>
    </row>
    <row r="416" spans="2:2" x14ac:dyDescent="0.2">
      <c r="B416"/>
    </row>
    <row r="417" spans="2:2" x14ac:dyDescent="0.2">
      <c r="B417"/>
    </row>
    <row r="418" spans="2:2" x14ac:dyDescent="0.2">
      <c r="B418"/>
    </row>
    <row r="419" spans="2:2" x14ac:dyDescent="0.2">
      <c r="B419"/>
    </row>
    <row r="420" spans="2:2" x14ac:dyDescent="0.2">
      <c r="B420"/>
    </row>
    <row r="421" spans="2:2" x14ac:dyDescent="0.2">
      <c r="B421"/>
    </row>
    <row r="422" spans="2:2" x14ac:dyDescent="0.2">
      <c r="B422"/>
    </row>
    <row r="423" spans="2:2" x14ac:dyDescent="0.2">
      <c r="B423"/>
    </row>
    <row r="424" spans="2:2" x14ac:dyDescent="0.2">
      <c r="B424"/>
    </row>
    <row r="425" spans="2:2" x14ac:dyDescent="0.2">
      <c r="B425"/>
    </row>
    <row r="426" spans="2:2" x14ac:dyDescent="0.2">
      <c r="B426"/>
    </row>
    <row r="427" spans="2:2" x14ac:dyDescent="0.2">
      <c r="B427"/>
    </row>
    <row r="428" spans="2:2" x14ac:dyDescent="0.2">
      <c r="B428"/>
    </row>
    <row r="429" spans="2:2" x14ac:dyDescent="0.2">
      <c r="B429"/>
    </row>
    <row r="430" spans="2:2" x14ac:dyDescent="0.2">
      <c r="B430"/>
    </row>
    <row r="431" spans="2:2" x14ac:dyDescent="0.2">
      <c r="B431"/>
    </row>
    <row r="432" spans="2:2" x14ac:dyDescent="0.2">
      <c r="B432"/>
    </row>
    <row r="433" spans="2:2" x14ac:dyDescent="0.2">
      <c r="B433"/>
    </row>
    <row r="434" spans="2:2" x14ac:dyDescent="0.2">
      <c r="B434"/>
    </row>
    <row r="435" spans="2:2" x14ac:dyDescent="0.2">
      <c r="B435"/>
    </row>
    <row r="436" spans="2:2" x14ac:dyDescent="0.2">
      <c r="B436"/>
    </row>
    <row r="437" spans="2:2" x14ac:dyDescent="0.2">
      <c r="B437"/>
    </row>
    <row r="438" spans="2:2" x14ac:dyDescent="0.2">
      <c r="B438"/>
    </row>
    <row r="439" spans="2:2" x14ac:dyDescent="0.2">
      <c r="B439"/>
    </row>
    <row r="440" spans="2:2" x14ac:dyDescent="0.2">
      <c r="B440"/>
    </row>
    <row r="441" spans="2:2" x14ac:dyDescent="0.2">
      <c r="B441"/>
    </row>
    <row r="442" spans="2:2" x14ac:dyDescent="0.2">
      <c r="B442"/>
    </row>
    <row r="443" spans="2:2" x14ac:dyDescent="0.2">
      <c r="B443"/>
    </row>
    <row r="444" spans="2:2" x14ac:dyDescent="0.2">
      <c r="B444"/>
    </row>
    <row r="445" spans="2:2" x14ac:dyDescent="0.2">
      <c r="B445"/>
    </row>
    <row r="446" spans="2:2" x14ac:dyDescent="0.2">
      <c r="B446"/>
    </row>
    <row r="447" spans="2:2" x14ac:dyDescent="0.2">
      <c r="B447"/>
    </row>
    <row r="448" spans="2:2" x14ac:dyDescent="0.2">
      <c r="B448"/>
    </row>
    <row r="449" spans="2:2" x14ac:dyDescent="0.2">
      <c r="B449"/>
    </row>
    <row r="450" spans="2:2" x14ac:dyDescent="0.2">
      <c r="B450"/>
    </row>
    <row r="451" spans="2:2" x14ac:dyDescent="0.2">
      <c r="B451"/>
    </row>
    <row r="452" spans="2:2" x14ac:dyDescent="0.2">
      <c r="B452"/>
    </row>
    <row r="453" spans="2:2" x14ac:dyDescent="0.2">
      <c r="B453"/>
    </row>
    <row r="454" spans="2:2" x14ac:dyDescent="0.2">
      <c r="B454"/>
    </row>
    <row r="455" spans="2:2" x14ac:dyDescent="0.2">
      <c r="B455"/>
    </row>
    <row r="456" spans="2:2" x14ac:dyDescent="0.2">
      <c r="B456"/>
    </row>
    <row r="457" spans="2:2" x14ac:dyDescent="0.2">
      <c r="B457"/>
    </row>
    <row r="458" spans="2:2" x14ac:dyDescent="0.2">
      <c r="B458"/>
    </row>
    <row r="459" spans="2:2" x14ac:dyDescent="0.2">
      <c r="B459"/>
    </row>
    <row r="460" spans="2:2" x14ac:dyDescent="0.2">
      <c r="B460"/>
    </row>
    <row r="461" spans="2:2" x14ac:dyDescent="0.2">
      <c r="B461"/>
    </row>
    <row r="462" spans="2:2" x14ac:dyDescent="0.2">
      <c r="B462"/>
    </row>
    <row r="463" spans="2:2" x14ac:dyDescent="0.2">
      <c r="B463"/>
    </row>
    <row r="464" spans="2:2" x14ac:dyDescent="0.2">
      <c r="B464"/>
    </row>
    <row r="465" spans="2:2" x14ac:dyDescent="0.2">
      <c r="B465"/>
    </row>
    <row r="466" spans="2:2" x14ac:dyDescent="0.2">
      <c r="B466"/>
    </row>
    <row r="467" spans="2:2" x14ac:dyDescent="0.2">
      <c r="B467"/>
    </row>
    <row r="468" spans="2:2" x14ac:dyDescent="0.2">
      <c r="B468"/>
    </row>
    <row r="469" spans="2:2" x14ac:dyDescent="0.2">
      <c r="B469"/>
    </row>
    <row r="470" spans="2:2" x14ac:dyDescent="0.2">
      <c r="B470"/>
    </row>
    <row r="471" spans="2:2" x14ac:dyDescent="0.2">
      <c r="B471"/>
    </row>
    <row r="472" spans="2:2" x14ac:dyDescent="0.2">
      <c r="B472"/>
    </row>
    <row r="473" spans="2:2" x14ac:dyDescent="0.2">
      <c r="B473"/>
    </row>
    <row r="474" spans="2:2" x14ac:dyDescent="0.2">
      <c r="B474"/>
    </row>
    <row r="475" spans="2:2" x14ac:dyDescent="0.2">
      <c r="B475"/>
    </row>
    <row r="476" spans="2:2" x14ac:dyDescent="0.2">
      <c r="B476"/>
    </row>
    <row r="477" spans="2:2" x14ac:dyDescent="0.2">
      <c r="B477"/>
    </row>
    <row r="478" spans="2:2" x14ac:dyDescent="0.2">
      <c r="B478"/>
    </row>
    <row r="479" spans="2:2" x14ac:dyDescent="0.2">
      <c r="B479"/>
    </row>
    <row r="480" spans="2:2" x14ac:dyDescent="0.2">
      <c r="B480"/>
    </row>
    <row r="481" spans="2:2" x14ac:dyDescent="0.2">
      <c r="B481"/>
    </row>
    <row r="482" spans="2:2" x14ac:dyDescent="0.2">
      <c r="B482"/>
    </row>
    <row r="483" spans="2:2" x14ac:dyDescent="0.2">
      <c r="B483"/>
    </row>
    <row r="484" spans="2:2" x14ac:dyDescent="0.2">
      <c r="B484"/>
    </row>
    <row r="485" spans="2:2" x14ac:dyDescent="0.2">
      <c r="B485"/>
    </row>
    <row r="486" spans="2:2" x14ac:dyDescent="0.2">
      <c r="B486"/>
    </row>
    <row r="487" spans="2:2" x14ac:dyDescent="0.2">
      <c r="B487"/>
    </row>
    <row r="488" spans="2:2" x14ac:dyDescent="0.2">
      <c r="B488"/>
    </row>
    <row r="489" spans="2:2" x14ac:dyDescent="0.2">
      <c r="B489"/>
    </row>
    <row r="490" spans="2:2" x14ac:dyDescent="0.2">
      <c r="B490"/>
    </row>
    <row r="491" spans="2:2" x14ac:dyDescent="0.2">
      <c r="B491"/>
    </row>
    <row r="492" spans="2:2" x14ac:dyDescent="0.2">
      <c r="B492"/>
    </row>
    <row r="493" spans="2:2" x14ac:dyDescent="0.2">
      <c r="B493"/>
    </row>
    <row r="494" spans="2:2" x14ac:dyDescent="0.2">
      <c r="B494"/>
    </row>
    <row r="495" spans="2:2" x14ac:dyDescent="0.2">
      <c r="B495"/>
    </row>
    <row r="496" spans="2:2" x14ac:dyDescent="0.2">
      <c r="B496"/>
    </row>
    <row r="497" spans="2:2" x14ac:dyDescent="0.2">
      <c r="B497"/>
    </row>
    <row r="498" spans="2:2" x14ac:dyDescent="0.2">
      <c r="B498"/>
    </row>
    <row r="499" spans="2:2" x14ac:dyDescent="0.2">
      <c r="B499"/>
    </row>
    <row r="500" spans="2:2" x14ac:dyDescent="0.2">
      <c r="B500"/>
    </row>
    <row r="501" spans="2:2" x14ac:dyDescent="0.2">
      <c r="B501"/>
    </row>
    <row r="502" spans="2:2" x14ac:dyDescent="0.2">
      <c r="B502"/>
    </row>
    <row r="503" spans="2:2" x14ac:dyDescent="0.2">
      <c r="B503"/>
    </row>
    <row r="504" spans="2:2" x14ac:dyDescent="0.2">
      <c r="B504"/>
    </row>
    <row r="505" spans="2:2" x14ac:dyDescent="0.2">
      <c r="B505"/>
    </row>
    <row r="506" spans="2:2" x14ac:dyDescent="0.2">
      <c r="B506"/>
    </row>
    <row r="507" spans="2:2" x14ac:dyDescent="0.2">
      <c r="B507"/>
    </row>
    <row r="508" spans="2:2" x14ac:dyDescent="0.2">
      <c r="B508"/>
    </row>
    <row r="509" spans="2:2" x14ac:dyDescent="0.2">
      <c r="B509"/>
    </row>
    <row r="510" spans="2:2" x14ac:dyDescent="0.2">
      <c r="B510"/>
    </row>
    <row r="511" spans="2:2" x14ac:dyDescent="0.2">
      <c r="B511"/>
    </row>
    <row r="512" spans="2:2" x14ac:dyDescent="0.2">
      <c r="B512"/>
    </row>
    <row r="513" spans="2:2" x14ac:dyDescent="0.2">
      <c r="B513"/>
    </row>
    <row r="514" spans="2:2" x14ac:dyDescent="0.2">
      <c r="B514"/>
    </row>
    <row r="515" spans="2:2" x14ac:dyDescent="0.2">
      <c r="B515"/>
    </row>
    <row r="516" spans="2:2" x14ac:dyDescent="0.2">
      <c r="B516"/>
    </row>
    <row r="517" spans="2:2" x14ac:dyDescent="0.2">
      <c r="B517"/>
    </row>
    <row r="518" spans="2:2" x14ac:dyDescent="0.2">
      <c r="B518"/>
    </row>
    <row r="519" spans="2:2" x14ac:dyDescent="0.2">
      <c r="B519"/>
    </row>
    <row r="520" spans="2:2" x14ac:dyDescent="0.2">
      <c r="B520"/>
    </row>
    <row r="521" spans="2:2" x14ac:dyDescent="0.2">
      <c r="B521"/>
    </row>
    <row r="522" spans="2:2" x14ac:dyDescent="0.2">
      <c r="B522"/>
    </row>
    <row r="523" spans="2:2" x14ac:dyDescent="0.2">
      <c r="B523"/>
    </row>
    <row r="524" spans="2:2" x14ac:dyDescent="0.2">
      <c r="B524"/>
    </row>
    <row r="525" spans="2:2" x14ac:dyDescent="0.2">
      <c r="B525"/>
    </row>
    <row r="526" spans="2:2" x14ac:dyDescent="0.2">
      <c r="B526"/>
    </row>
    <row r="527" spans="2:2" x14ac:dyDescent="0.2">
      <c r="B527"/>
    </row>
    <row r="528" spans="2:2" x14ac:dyDescent="0.2">
      <c r="B528"/>
    </row>
    <row r="529" spans="2:2" x14ac:dyDescent="0.2">
      <c r="B529"/>
    </row>
    <row r="530" spans="2:2" x14ac:dyDescent="0.2">
      <c r="B530"/>
    </row>
    <row r="531" spans="2:2" x14ac:dyDescent="0.2">
      <c r="B531"/>
    </row>
    <row r="532" spans="2:2" x14ac:dyDescent="0.2">
      <c r="B532"/>
    </row>
    <row r="533" spans="2:2" x14ac:dyDescent="0.2">
      <c r="B533"/>
    </row>
    <row r="534" spans="2:2" x14ac:dyDescent="0.2">
      <c r="B534"/>
    </row>
    <row r="535" spans="2:2" x14ac:dyDescent="0.2">
      <c r="B535"/>
    </row>
    <row r="536" spans="2:2" x14ac:dyDescent="0.2">
      <c r="B536"/>
    </row>
    <row r="537" spans="2:2" x14ac:dyDescent="0.2">
      <c r="B537"/>
    </row>
    <row r="538" spans="2:2" x14ac:dyDescent="0.2">
      <c r="B538"/>
    </row>
    <row r="539" spans="2:2" x14ac:dyDescent="0.2">
      <c r="B539"/>
    </row>
    <row r="540" spans="2:2" x14ac:dyDescent="0.2">
      <c r="B540"/>
    </row>
    <row r="541" spans="2:2" x14ac:dyDescent="0.2">
      <c r="B541"/>
    </row>
    <row r="542" spans="2:2" x14ac:dyDescent="0.2">
      <c r="B542"/>
    </row>
    <row r="543" spans="2:2" x14ac:dyDescent="0.2">
      <c r="B543"/>
    </row>
    <row r="544" spans="2:2" x14ac:dyDescent="0.2">
      <c r="B544"/>
    </row>
    <row r="545" spans="2:2" x14ac:dyDescent="0.2">
      <c r="B545"/>
    </row>
    <row r="546" spans="2:2" x14ac:dyDescent="0.2">
      <c r="B546"/>
    </row>
    <row r="547" spans="2:2" x14ac:dyDescent="0.2">
      <c r="B547"/>
    </row>
    <row r="548" spans="2:2" x14ac:dyDescent="0.2">
      <c r="B548"/>
    </row>
    <row r="549" spans="2:2" x14ac:dyDescent="0.2">
      <c r="B549"/>
    </row>
    <row r="550" spans="2:2" x14ac:dyDescent="0.2">
      <c r="B550"/>
    </row>
    <row r="551" spans="2:2" x14ac:dyDescent="0.2">
      <c r="B551"/>
    </row>
    <row r="552" spans="2:2" x14ac:dyDescent="0.2">
      <c r="B552"/>
    </row>
    <row r="553" spans="2:2" x14ac:dyDescent="0.2">
      <c r="B553"/>
    </row>
    <row r="554" spans="2:2" x14ac:dyDescent="0.2">
      <c r="B554"/>
    </row>
    <row r="555" spans="2:2" x14ac:dyDescent="0.2">
      <c r="B555"/>
    </row>
    <row r="556" spans="2:2" x14ac:dyDescent="0.2">
      <c r="B556"/>
    </row>
    <row r="557" spans="2:2" x14ac:dyDescent="0.2">
      <c r="B557"/>
    </row>
    <row r="558" spans="2:2" x14ac:dyDescent="0.2">
      <c r="B558"/>
    </row>
    <row r="559" spans="2:2" x14ac:dyDescent="0.2">
      <c r="B559"/>
    </row>
    <row r="560" spans="2:2" x14ac:dyDescent="0.2">
      <c r="B560"/>
    </row>
    <row r="561" spans="2:2" x14ac:dyDescent="0.2">
      <c r="B561"/>
    </row>
    <row r="562" spans="2:2" x14ac:dyDescent="0.2">
      <c r="B562"/>
    </row>
    <row r="563" spans="2:2" x14ac:dyDescent="0.2">
      <c r="B563"/>
    </row>
    <row r="564" spans="2:2" x14ac:dyDescent="0.2">
      <c r="B564"/>
    </row>
    <row r="565" spans="2:2" x14ac:dyDescent="0.2">
      <c r="B565"/>
    </row>
    <row r="566" spans="2:2" x14ac:dyDescent="0.2">
      <c r="B566"/>
    </row>
    <row r="567" spans="2:2" x14ac:dyDescent="0.2">
      <c r="B567"/>
    </row>
    <row r="568" spans="2:2" x14ac:dyDescent="0.2">
      <c r="B568"/>
    </row>
    <row r="569" spans="2:2" x14ac:dyDescent="0.2">
      <c r="B569"/>
    </row>
    <row r="570" spans="2:2" x14ac:dyDescent="0.2">
      <c r="B570"/>
    </row>
    <row r="571" spans="2:2" x14ac:dyDescent="0.2">
      <c r="B571"/>
    </row>
    <row r="572" spans="2:2" x14ac:dyDescent="0.2">
      <c r="B572"/>
    </row>
    <row r="573" spans="2:2" x14ac:dyDescent="0.2">
      <c r="B573"/>
    </row>
    <row r="574" spans="2:2" x14ac:dyDescent="0.2">
      <c r="B574"/>
    </row>
    <row r="575" spans="2:2" x14ac:dyDescent="0.2">
      <c r="B575"/>
    </row>
    <row r="576" spans="2:2" x14ac:dyDescent="0.2">
      <c r="B576"/>
    </row>
    <row r="577" spans="2:2" x14ac:dyDescent="0.2">
      <c r="B577"/>
    </row>
    <row r="578" spans="2:2" x14ac:dyDescent="0.2">
      <c r="B578"/>
    </row>
    <row r="579" spans="2:2" x14ac:dyDescent="0.2">
      <c r="B579"/>
    </row>
    <row r="580" spans="2:2" x14ac:dyDescent="0.2">
      <c r="B580"/>
    </row>
    <row r="581" spans="2:2" x14ac:dyDescent="0.2">
      <c r="B581"/>
    </row>
    <row r="582" spans="2:2" x14ac:dyDescent="0.2">
      <c r="B582"/>
    </row>
    <row r="583" spans="2:2" x14ac:dyDescent="0.2">
      <c r="B583"/>
    </row>
    <row r="584" spans="2:2" x14ac:dyDescent="0.2">
      <c r="B584"/>
    </row>
    <row r="585" spans="2:2" x14ac:dyDescent="0.2">
      <c r="B585"/>
    </row>
    <row r="586" spans="2:2" x14ac:dyDescent="0.2">
      <c r="B586"/>
    </row>
    <row r="587" spans="2:2" x14ac:dyDescent="0.2">
      <c r="B587"/>
    </row>
    <row r="588" spans="2:2" x14ac:dyDescent="0.2">
      <c r="B588"/>
    </row>
    <row r="589" spans="2:2" x14ac:dyDescent="0.2">
      <c r="B589"/>
    </row>
    <row r="590" spans="2:2" x14ac:dyDescent="0.2">
      <c r="B590"/>
    </row>
    <row r="591" spans="2:2" x14ac:dyDescent="0.2">
      <c r="B591"/>
    </row>
    <row r="592" spans="2:2" x14ac:dyDescent="0.2">
      <c r="B592"/>
    </row>
    <row r="593" spans="2:2" x14ac:dyDescent="0.2">
      <c r="B593"/>
    </row>
    <row r="594" spans="2:2" x14ac:dyDescent="0.2">
      <c r="B594"/>
    </row>
    <row r="595" spans="2:2" x14ac:dyDescent="0.2">
      <c r="B595"/>
    </row>
    <row r="596" spans="2:2" x14ac:dyDescent="0.2">
      <c r="B596"/>
    </row>
    <row r="597" spans="2:2" x14ac:dyDescent="0.2">
      <c r="B597"/>
    </row>
    <row r="598" spans="2:2" x14ac:dyDescent="0.2">
      <c r="B598"/>
    </row>
    <row r="599" spans="2:2" x14ac:dyDescent="0.2">
      <c r="B599"/>
    </row>
    <row r="600" spans="2:2" x14ac:dyDescent="0.2">
      <c r="B600"/>
    </row>
    <row r="601" spans="2:2" x14ac:dyDescent="0.2">
      <c r="B601"/>
    </row>
    <row r="602" spans="2:2" x14ac:dyDescent="0.2">
      <c r="B602"/>
    </row>
    <row r="603" spans="2:2" x14ac:dyDescent="0.2">
      <c r="B603"/>
    </row>
    <row r="604" spans="2:2" x14ac:dyDescent="0.2">
      <c r="B604"/>
    </row>
    <row r="605" spans="2:2" x14ac:dyDescent="0.2">
      <c r="B605"/>
    </row>
    <row r="606" spans="2:2" x14ac:dyDescent="0.2">
      <c r="B606"/>
    </row>
    <row r="607" spans="2:2" x14ac:dyDescent="0.2">
      <c r="B607"/>
    </row>
    <row r="608" spans="2:2" x14ac:dyDescent="0.2">
      <c r="B608"/>
    </row>
    <row r="609" spans="2:2" x14ac:dyDescent="0.2">
      <c r="B609"/>
    </row>
    <row r="610" spans="2:2" x14ac:dyDescent="0.2">
      <c r="B610"/>
    </row>
    <row r="611" spans="2:2" x14ac:dyDescent="0.2">
      <c r="B611"/>
    </row>
    <row r="612" spans="2:2" x14ac:dyDescent="0.2">
      <c r="B612"/>
    </row>
    <row r="613" spans="2:2" x14ac:dyDescent="0.2">
      <c r="B613"/>
    </row>
    <row r="614" spans="2:2" x14ac:dyDescent="0.2">
      <c r="B614"/>
    </row>
    <row r="615" spans="2:2" x14ac:dyDescent="0.2">
      <c r="B615"/>
    </row>
    <row r="616" spans="2:2" x14ac:dyDescent="0.2">
      <c r="B616"/>
    </row>
    <row r="617" spans="2:2" x14ac:dyDescent="0.2">
      <c r="B617"/>
    </row>
    <row r="618" spans="2:2" x14ac:dyDescent="0.2">
      <c r="B618"/>
    </row>
    <row r="619" spans="2:2" x14ac:dyDescent="0.2">
      <c r="B619"/>
    </row>
    <row r="620" spans="2:2" x14ac:dyDescent="0.2">
      <c r="B620"/>
    </row>
    <row r="621" spans="2:2" x14ac:dyDescent="0.2">
      <c r="B621"/>
    </row>
    <row r="622" spans="2:2" x14ac:dyDescent="0.2">
      <c r="B622"/>
    </row>
    <row r="623" spans="2:2" x14ac:dyDescent="0.2">
      <c r="B623"/>
    </row>
    <row r="624" spans="2:2" x14ac:dyDescent="0.2">
      <c r="B624"/>
    </row>
  </sheetData>
  <hyperlinks>
    <hyperlink ref="B12" r:id="rId1" xr:uid="{00000000-0004-0000-0100-000000000000}"/>
    <hyperlink ref="B13" r:id="rId2" xr:uid="{00000000-0004-0000-0100-000001000000}"/>
    <hyperlink ref="B14" r:id="rId3" xr:uid="{00000000-0004-0000-0100-000002000000}"/>
    <hyperlink ref="B15" r:id="rId4" xr:uid="{00000000-0004-0000-0100-000003000000}"/>
  </hyperlinks>
  <pageMargins left="0.27777777777777779" right="0.27777777777777779" top="0.75" bottom="0.75" header="0.3" footer="0.3"/>
  <pageSetup paperSize="9" orientation="portrait" horizontalDpi="0" verticalDpi="0"/>
  <rowBreaks count="1" manualBreakCount="1">
    <brk id="664"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onnées</vt:lpstr>
      <vt:lpstr>Statistiques descriptives </vt:lpstr>
      <vt:lpstr>Graphiques</vt:lpstr>
      <vt:lpstr>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Nkashama Christivie</cp:lastModifiedBy>
  <cp:lastPrinted>2026-07-24T16:03:47Z</cp:lastPrinted>
  <dcterms:created xsi:type="dcterms:W3CDTF">2026-07-23T23:36:26Z</dcterms:created>
  <dcterms:modified xsi:type="dcterms:W3CDTF">2026-07-25T16:41:20Z</dcterms:modified>
  <cp:category/>
</cp:coreProperties>
</file>